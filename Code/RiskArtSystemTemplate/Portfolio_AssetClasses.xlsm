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2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ergio.ortizorendain\Desktop\"/>
    </mc:Choice>
  </mc:AlternateContent>
  <bookViews>
    <workbookView xWindow="0" yWindow="0" windowWidth="28800" windowHeight="12435" firstSheet="2" activeTab="3"/>
  </bookViews>
  <sheets>
    <sheet name="Corporates" sheetId="1" r:id="rId1"/>
    <sheet name="Equity" sheetId="3" r:id="rId2"/>
    <sheet name="Options" sheetId="4" r:id="rId3"/>
    <sheet name="CDS" sheetId="5" r:id="rId4"/>
    <sheet name="CDS_Aux" sheetId="6" r:id="rId5"/>
  </sheets>
  <calcPr calcId="171026" calcCompleted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4" l="1"/>
  <c r="K3" i="4"/>
  <c r="K4" i="4"/>
  <c r="I2" i="4"/>
  <c r="L3" i="4"/>
  <c r="L4" i="4"/>
  <c r="L2" i="4"/>
  <c r="G2" i="6"/>
  <c r="H3" i="5"/>
  <c r="H4" i="5"/>
  <c r="H5" i="5"/>
  <c r="H6" i="5"/>
  <c r="H7" i="5"/>
  <c r="H8" i="5"/>
  <c r="H9" i="5"/>
  <c r="H10" i="5"/>
  <c r="H2" i="5"/>
  <c r="D12" i="6"/>
  <c r="F12" i="6"/>
  <c r="D13" i="6"/>
  <c r="F13" i="6"/>
  <c r="D14" i="6"/>
  <c r="F14" i="6"/>
  <c r="D15" i="6"/>
  <c r="F15" i="6"/>
  <c r="D16" i="6"/>
  <c r="F16" i="6"/>
  <c r="D17" i="6"/>
  <c r="F17" i="6"/>
  <c r="D18" i="6"/>
  <c r="F18" i="6"/>
  <c r="D19" i="6"/>
  <c r="F19" i="6"/>
  <c r="G11" i="6"/>
  <c r="D2" i="6"/>
  <c r="F2" i="6"/>
  <c r="D3" i="6"/>
  <c r="F3" i="6"/>
  <c r="D4" i="6"/>
  <c r="F4" i="6"/>
  <c r="D5" i="6"/>
  <c r="F5" i="6"/>
  <c r="D6" i="6"/>
  <c r="F6" i="6"/>
  <c r="D7" i="6"/>
  <c r="F7" i="6"/>
  <c r="D8" i="6"/>
  <c r="F8" i="6"/>
  <c r="D9" i="6"/>
  <c r="F9" i="6"/>
  <c r="G1" i="6"/>
  <c r="D32" i="6"/>
  <c r="F32" i="6"/>
  <c r="D33" i="6"/>
  <c r="F33" i="6"/>
  <c r="D34" i="6"/>
  <c r="F34" i="6"/>
  <c r="D35" i="6"/>
  <c r="F35" i="6"/>
  <c r="D36" i="6"/>
  <c r="F36" i="6"/>
  <c r="D37" i="6"/>
  <c r="F37" i="6"/>
  <c r="D38" i="6"/>
  <c r="F38" i="6"/>
  <c r="D39" i="6"/>
  <c r="F39" i="6"/>
  <c r="G31" i="6"/>
  <c r="D22" i="6"/>
  <c r="F22" i="6"/>
  <c r="D23" i="6"/>
  <c r="F23" i="6"/>
  <c r="D24" i="6"/>
  <c r="F24" i="6"/>
  <c r="D25" i="6"/>
  <c r="F25" i="6"/>
  <c r="D26" i="6"/>
  <c r="F26" i="6"/>
  <c r="D27" i="6"/>
  <c r="F27" i="6"/>
  <c r="D28" i="6"/>
  <c r="F28" i="6"/>
  <c r="D29" i="6"/>
  <c r="F29" i="6"/>
  <c r="G21" i="6"/>
  <c r="D42" i="6"/>
  <c r="F42" i="6"/>
  <c r="D43" i="6"/>
  <c r="F43" i="6"/>
  <c r="D44" i="6"/>
  <c r="F44" i="6"/>
  <c r="D45" i="6"/>
  <c r="F45" i="6"/>
  <c r="D46" i="6"/>
  <c r="F46" i="6"/>
  <c r="D47" i="6"/>
  <c r="F47" i="6"/>
  <c r="D48" i="6"/>
  <c r="F48" i="6"/>
  <c r="D49" i="6"/>
  <c r="F49" i="6"/>
  <c r="G41" i="6"/>
  <c r="D52" i="6"/>
  <c r="F52" i="6"/>
  <c r="D53" i="6"/>
  <c r="F53" i="6"/>
  <c r="D54" i="6"/>
  <c r="F54" i="6"/>
  <c r="D55" i="6"/>
  <c r="F55" i="6"/>
  <c r="D56" i="6"/>
  <c r="F56" i="6"/>
  <c r="D57" i="6"/>
  <c r="F57" i="6"/>
  <c r="D58" i="6"/>
  <c r="F58" i="6"/>
  <c r="D59" i="6"/>
  <c r="F59" i="6"/>
  <c r="G51" i="6"/>
  <c r="D92" i="6"/>
  <c r="F92" i="6"/>
  <c r="D93" i="6"/>
  <c r="F93" i="6"/>
  <c r="D94" i="6"/>
  <c r="F94" i="6"/>
  <c r="D95" i="6"/>
  <c r="F95" i="6"/>
  <c r="D96" i="6"/>
  <c r="F96" i="6"/>
  <c r="D97" i="6"/>
  <c r="F97" i="6"/>
  <c r="D98" i="6"/>
  <c r="F98" i="6"/>
  <c r="D99" i="6"/>
  <c r="F99" i="6"/>
  <c r="G91" i="6"/>
  <c r="D82" i="6"/>
  <c r="F82" i="6"/>
  <c r="D83" i="6"/>
  <c r="F83" i="6"/>
  <c r="D84" i="6"/>
  <c r="F84" i="6"/>
  <c r="D85" i="6"/>
  <c r="F85" i="6"/>
  <c r="D86" i="6"/>
  <c r="F86" i="6"/>
  <c r="D87" i="6"/>
  <c r="F87" i="6"/>
  <c r="D88" i="6"/>
  <c r="F88" i="6"/>
  <c r="D89" i="6"/>
  <c r="F89" i="6"/>
  <c r="G81" i="6"/>
  <c r="D72" i="6"/>
  <c r="F72" i="6"/>
  <c r="D73" i="6"/>
  <c r="F73" i="6"/>
  <c r="D74" i="6"/>
  <c r="F74" i="6"/>
  <c r="D75" i="6"/>
  <c r="F75" i="6"/>
  <c r="D76" i="6"/>
  <c r="F76" i="6"/>
  <c r="D77" i="6"/>
  <c r="F77" i="6"/>
  <c r="D78" i="6"/>
  <c r="F78" i="6"/>
  <c r="D79" i="6"/>
  <c r="F79" i="6"/>
  <c r="G71" i="6"/>
  <c r="D62" i="6"/>
  <c r="F62" i="6"/>
  <c r="D63" i="6"/>
  <c r="F63" i="6"/>
  <c r="D64" i="6"/>
  <c r="F64" i="6"/>
  <c r="D65" i="6"/>
  <c r="F65" i="6"/>
  <c r="D66" i="6"/>
  <c r="F66" i="6"/>
  <c r="D67" i="6"/>
  <c r="F67" i="6"/>
  <c r="D68" i="6"/>
  <c r="F68" i="6"/>
  <c r="D69" i="6"/>
  <c r="F69" i="6"/>
  <c r="G61" i="6"/>
  <c r="I10" i="5"/>
  <c r="I9" i="5"/>
  <c r="I8" i="5"/>
  <c r="I7" i="5"/>
  <c r="I6" i="5"/>
  <c r="I5" i="5"/>
  <c r="I4" i="5"/>
  <c r="I3" i="5"/>
  <c r="I2" i="5"/>
  <c r="G5" i="5"/>
  <c r="G6" i="5"/>
  <c r="G7" i="5"/>
  <c r="G8" i="5"/>
  <c r="G9" i="5"/>
  <c r="G10" i="5"/>
  <c r="G4" i="5"/>
  <c r="G3" i="5"/>
  <c r="G2" i="5"/>
  <c r="J2" i="4"/>
  <c r="J3" i="4"/>
  <c r="J4" i="4"/>
  <c r="I3" i="4"/>
  <c r="I4" i="4"/>
  <c r="F4" i="4"/>
  <c r="F3" i="4"/>
  <c r="F2" i="4"/>
  <c r="E4" i="3"/>
  <c r="E3" i="3"/>
  <c r="E2" i="3"/>
  <c r="F4" i="3"/>
  <c r="F2" i="3"/>
  <c r="F3" i="3"/>
  <c r="H4" i="3"/>
  <c r="H3" i="3"/>
  <c r="H2" i="3"/>
  <c r="G4" i="3"/>
  <c r="G3" i="3"/>
  <c r="G2" i="3"/>
  <c r="C3" i="3"/>
  <c r="C4" i="3"/>
  <c r="C2" i="3"/>
  <c r="B4" i="3"/>
  <c r="B3" i="3"/>
  <c r="B2" i="3"/>
  <c r="E2" i="1"/>
  <c r="W26" i="1"/>
  <c r="V26" i="1"/>
  <c r="S26" i="1"/>
  <c r="R26" i="1"/>
  <c r="Q26" i="1"/>
  <c r="E26" i="1"/>
  <c r="F26" i="1"/>
  <c r="F2" i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O26" i="1"/>
  <c r="N26" i="1"/>
  <c r="L26" i="1"/>
  <c r="M26" i="1"/>
  <c r="K26" i="1"/>
  <c r="J26" i="1"/>
  <c r="I26" i="1"/>
  <c r="H26" i="1"/>
  <c r="G26" i="1"/>
  <c r="C26" i="1"/>
  <c r="B26" i="1"/>
  <c r="W25" i="1"/>
  <c r="V25" i="1"/>
  <c r="U25" i="1"/>
  <c r="S25" i="1"/>
  <c r="R25" i="1"/>
  <c r="Q25" i="1"/>
  <c r="O25" i="1"/>
  <c r="N25" i="1"/>
  <c r="L25" i="1"/>
  <c r="M25" i="1"/>
  <c r="K25" i="1"/>
  <c r="J25" i="1"/>
  <c r="I25" i="1"/>
  <c r="H25" i="1"/>
  <c r="G25" i="1"/>
  <c r="C25" i="1"/>
  <c r="B25" i="1"/>
  <c r="W24" i="1"/>
  <c r="V24" i="1"/>
  <c r="U24" i="1"/>
  <c r="S24" i="1"/>
  <c r="R24" i="1"/>
  <c r="Q24" i="1"/>
  <c r="O24" i="1"/>
  <c r="N24" i="1"/>
  <c r="L24" i="1"/>
  <c r="M24" i="1"/>
  <c r="K24" i="1"/>
  <c r="J24" i="1"/>
  <c r="I24" i="1"/>
  <c r="H24" i="1"/>
  <c r="G24" i="1"/>
  <c r="C24" i="1"/>
  <c r="B24" i="1"/>
  <c r="W23" i="1"/>
  <c r="V23" i="1"/>
  <c r="U23" i="1"/>
  <c r="S23" i="1"/>
  <c r="R23" i="1"/>
  <c r="Q23" i="1"/>
  <c r="O23" i="1"/>
  <c r="N23" i="1"/>
  <c r="L23" i="1"/>
  <c r="M23" i="1"/>
  <c r="K23" i="1"/>
  <c r="J23" i="1"/>
  <c r="I23" i="1"/>
  <c r="H23" i="1"/>
  <c r="G23" i="1"/>
  <c r="C23" i="1"/>
  <c r="B23" i="1"/>
  <c r="W22" i="1"/>
  <c r="V22" i="1"/>
  <c r="U22" i="1"/>
  <c r="S22" i="1"/>
  <c r="R22" i="1"/>
  <c r="Q22" i="1"/>
  <c r="O22" i="1"/>
  <c r="N22" i="1"/>
  <c r="L22" i="1"/>
  <c r="M22" i="1"/>
  <c r="K22" i="1"/>
  <c r="J22" i="1"/>
  <c r="I22" i="1"/>
  <c r="H22" i="1"/>
  <c r="G22" i="1"/>
  <c r="C22" i="1"/>
  <c r="B22" i="1"/>
  <c r="V21" i="1"/>
  <c r="U21" i="1"/>
  <c r="S21" i="1"/>
  <c r="R21" i="1"/>
  <c r="Q21" i="1"/>
  <c r="O21" i="1"/>
  <c r="N21" i="1"/>
  <c r="L21" i="1"/>
  <c r="M21" i="1"/>
  <c r="K21" i="1"/>
  <c r="J21" i="1"/>
  <c r="I21" i="1"/>
  <c r="H21" i="1"/>
  <c r="G21" i="1"/>
  <c r="C21" i="1"/>
  <c r="B21" i="1"/>
  <c r="V20" i="1"/>
  <c r="U20" i="1"/>
  <c r="S20" i="1"/>
  <c r="R20" i="1"/>
  <c r="Q20" i="1"/>
  <c r="O20" i="1"/>
  <c r="N20" i="1"/>
  <c r="L20" i="1"/>
  <c r="M20" i="1"/>
  <c r="K20" i="1"/>
  <c r="J20" i="1"/>
  <c r="I20" i="1"/>
  <c r="H20" i="1"/>
  <c r="G20" i="1"/>
  <c r="C20" i="1"/>
  <c r="B20" i="1"/>
  <c r="W19" i="1"/>
  <c r="V19" i="1"/>
  <c r="U19" i="1"/>
  <c r="S19" i="1"/>
  <c r="R19" i="1"/>
  <c r="Q19" i="1"/>
  <c r="O19" i="1"/>
  <c r="N19" i="1"/>
  <c r="L19" i="1"/>
  <c r="M19" i="1"/>
  <c r="K19" i="1"/>
  <c r="J19" i="1"/>
  <c r="I19" i="1"/>
  <c r="H19" i="1"/>
  <c r="G19" i="1"/>
  <c r="C19" i="1"/>
  <c r="B19" i="1"/>
  <c r="W18" i="1"/>
  <c r="V18" i="1"/>
  <c r="U18" i="1"/>
  <c r="S18" i="1"/>
  <c r="R18" i="1"/>
  <c r="Q18" i="1"/>
  <c r="O18" i="1"/>
  <c r="N18" i="1"/>
  <c r="L18" i="1"/>
  <c r="M18" i="1"/>
  <c r="K18" i="1"/>
  <c r="J18" i="1"/>
  <c r="I18" i="1"/>
  <c r="H18" i="1"/>
  <c r="G18" i="1"/>
  <c r="C18" i="1"/>
  <c r="B18" i="1"/>
  <c r="W17" i="1"/>
  <c r="V17" i="1"/>
  <c r="U17" i="1"/>
  <c r="S17" i="1"/>
  <c r="R17" i="1"/>
  <c r="Q17" i="1"/>
  <c r="O17" i="1"/>
  <c r="N17" i="1"/>
  <c r="L17" i="1"/>
  <c r="M17" i="1"/>
  <c r="K17" i="1"/>
  <c r="J17" i="1"/>
  <c r="I17" i="1"/>
  <c r="H17" i="1"/>
  <c r="G17" i="1"/>
  <c r="C17" i="1"/>
  <c r="B17" i="1"/>
  <c r="V16" i="1"/>
  <c r="U16" i="1"/>
  <c r="S16" i="1"/>
  <c r="R16" i="1"/>
  <c r="Q16" i="1"/>
  <c r="O16" i="1"/>
  <c r="N16" i="1"/>
  <c r="L16" i="1"/>
  <c r="M16" i="1"/>
  <c r="K16" i="1"/>
  <c r="J16" i="1"/>
  <c r="I16" i="1"/>
  <c r="H16" i="1"/>
  <c r="G16" i="1"/>
  <c r="C16" i="1"/>
  <c r="B16" i="1"/>
  <c r="W15" i="1"/>
  <c r="V15" i="1"/>
  <c r="U15" i="1"/>
  <c r="S15" i="1"/>
  <c r="R15" i="1"/>
  <c r="Q15" i="1"/>
  <c r="O15" i="1"/>
  <c r="N15" i="1"/>
  <c r="L15" i="1"/>
  <c r="M15" i="1"/>
  <c r="K15" i="1"/>
  <c r="J15" i="1"/>
  <c r="I15" i="1"/>
  <c r="H15" i="1"/>
  <c r="G15" i="1"/>
  <c r="C15" i="1"/>
  <c r="B15" i="1"/>
  <c r="W14" i="1"/>
  <c r="V14" i="1"/>
  <c r="U14" i="1"/>
  <c r="S14" i="1"/>
  <c r="R14" i="1"/>
  <c r="Q14" i="1"/>
  <c r="O14" i="1"/>
  <c r="N14" i="1"/>
  <c r="L14" i="1"/>
  <c r="M14" i="1"/>
  <c r="K14" i="1"/>
  <c r="J14" i="1"/>
  <c r="I14" i="1"/>
  <c r="H14" i="1"/>
  <c r="G14" i="1"/>
  <c r="C14" i="1"/>
  <c r="B14" i="1"/>
  <c r="V13" i="1"/>
  <c r="U13" i="1"/>
  <c r="S13" i="1"/>
  <c r="R13" i="1"/>
  <c r="Q13" i="1"/>
  <c r="O13" i="1"/>
  <c r="N13" i="1"/>
  <c r="L13" i="1"/>
  <c r="M13" i="1"/>
  <c r="K13" i="1"/>
  <c r="J13" i="1"/>
  <c r="I13" i="1"/>
  <c r="H13" i="1"/>
  <c r="G13" i="1"/>
  <c r="C13" i="1"/>
  <c r="B13" i="1"/>
  <c r="W12" i="1"/>
  <c r="V12" i="1"/>
  <c r="U12" i="1"/>
  <c r="S12" i="1"/>
  <c r="R12" i="1"/>
  <c r="Q12" i="1"/>
  <c r="O12" i="1"/>
  <c r="N12" i="1"/>
  <c r="L12" i="1"/>
  <c r="M12" i="1"/>
  <c r="K12" i="1"/>
  <c r="J12" i="1"/>
  <c r="I12" i="1"/>
  <c r="H12" i="1"/>
  <c r="G12" i="1"/>
  <c r="C12" i="1"/>
  <c r="B12" i="1"/>
  <c r="W11" i="1"/>
  <c r="V11" i="1"/>
  <c r="U11" i="1"/>
  <c r="S11" i="1"/>
  <c r="R11" i="1"/>
  <c r="Q11" i="1"/>
  <c r="O11" i="1"/>
  <c r="N11" i="1"/>
  <c r="L11" i="1"/>
  <c r="M11" i="1"/>
  <c r="K11" i="1"/>
  <c r="J11" i="1"/>
  <c r="I11" i="1"/>
  <c r="H11" i="1"/>
  <c r="G11" i="1"/>
  <c r="C11" i="1"/>
  <c r="B11" i="1"/>
  <c r="W10" i="1"/>
  <c r="V10" i="1"/>
  <c r="U10" i="1"/>
  <c r="S10" i="1"/>
  <c r="R10" i="1"/>
  <c r="Q10" i="1"/>
  <c r="O10" i="1"/>
  <c r="N10" i="1"/>
  <c r="L10" i="1"/>
  <c r="M10" i="1"/>
  <c r="K10" i="1"/>
  <c r="J10" i="1"/>
  <c r="I10" i="1"/>
  <c r="H10" i="1"/>
  <c r="G10" i="1"/>
  <c r="C10" i="1"/>
  <c r="B10" i="1"/>
  <c r="W9" i="1"/>
  <c r="V9" i="1"/>
  <c r="U9" i="1"/>
  <c r="S9" i="1"/>
  <c r="R9" i="1"/>
  <c r="Q9" i="1"/>
  <c r="O9" i="1"/>
  <c r="N9" i="1"/>
  <c r="L9" i="1"/>
  <c r="M9" i="1"/>
  <c r="K9" i="1"/>
  <c r="J9" i="1"/>
  <c r="I9" i="1"/>
  <c r="H9" i="1"/>
  <c r="G9" i="1"/>
  <c r="C9" i="1"/>
  <c r="B9" i="1"/>
  <c r="W8" i="1"/>
  <c r="V8" i="1"/>
  <c r="U8" i="1"/>
  <c r="S8" i="1"/>
  <c r="R8" i="1"/>
  <c r="Q8" i="1"/>
  <c r="O8" i="1"/>
  <c r="N8" i="1"/>
  <c r="L8" i="1"/>
  <c r="M8" i="1"/>
  <c r="K8" i="1"/>
  <c r="J8" i="1"/>
  <c r="I8" i="1"/>
  <c r="H8" i="1"/>
  <c r="G8" i="1"/>
  <c r="C8" i="1"/>
  <c r="B8" i="1"/>
  <c r="W7" i="1"/>
  <c r="V7" i="1"/>
  <c r="U7" i="1"/>
  <c r="S7" i="1"/>
  <c r="R7" i="1"/>
  <c r="Q7" i="1"/>
  <c r="O7" i="1"/>
  <c r="N7" i="1"/>
  <c r="L7" i="1"/>
  <c r="M7" i="1"/>
  <c r="K7" i="1"/>
  <c r="J7" i="1"/>
  <c r="I7" i="1"/>
  <c r="H7" i="1"/>
  <c r="G7" i="1"/>
  <c r="C7" i="1"/>
  <c r="B7" i="1"/>
  <c r="W6" i="1"/>
  <c r="V6" i="1"/>
  <c r="S6" i="1"/>
  <c r="R6" i="1"/>
  <c r="Q6" i="1"/>
  <c r="O6" i="1"/>
  <c r="N6" i="1"/>
  <c r="L6" i="1"/>
  <c r="M6" i="1"/>
  <c r="K6" i="1"/>
  <c r="J6" i="1"/>
  <c r="I6" i="1"/>
  <c r="H6" i="1"/>
  <c r="G6" i="1"/>
  <c r="C6" i="1"/>
  <c r="B6" i="1"/>
  <c r="V5" i="1"/>
  <c r="U5" i="1"/>
  <c r="S5" i="1"/>
  <c r="R5" i="1"/>
  <c r="Q5" i="1"/>
  <c r="O5" i="1"/>
  <c r="N5" i="1"/>
  <c r="L5" i="1"/>
  <c r="M5" i="1"/>
  <c r="K5" i="1"/>
  <c r="J5" i="1"/>
  <c r="I5" i="1"/>
  <c r="H5" i="1"/>
  <c r="G5" i="1"/>
  <c r="C5" i="1"/>
  <c r="B5" i="1"/>
  <c r="W4" i="1"/>
  <c r="V4" i="1"/>
  <c r="S4" i="1"/>
  <c r="R4" i="1"/>
  <c r="Q4" i="1"/>
  <c r="O4" i="1"/>
  <c r="N4" i="1"/>
  <c r="L4" i="1"/>
  <c r="M4" i="1"/>
  <c r="K4" i="1"/>
  <c r="J4" i="1"/>
  <c r="I4" i="1"/>
  <c r="H4" i="1"/>
  <c r="G4" i="1"/>
  <c r="C4" i="1"/>
  <c r="B4" i="1"/>
  <c r="W3" i="1"/>
  <c r="V3" i="1"/>
  <c r="U3" i="1"/>
  <c r="S3" i="1"/>
  <c r="R3" i="1"/>
  <c r="Q3" i="1"/>
  <c r="O3" i="1"/>
  <c r="N3" i="1"/>
  <c r="L3" i="1"/>
  <c r="M3" i="1"/>
  <c r="K3" i="1"/>
  <c r="J3" i="1"/>
  <c r="I3" i="1"/>
  <c r="H3" i="1"/>
  <c r="G3" i="1"/>
  <c r="C3" i="1"/>
  <c r="B3" i="1"/>
  <c r="W2" i="1"/>
  <c r="V2" i="1"/>
  <c r="U2" i="1"/>
  <c r="S2" i="1"/>
  <c r="R2" i="1"/>
  <c r="Q2" i="1"/>
  <c r="O2" i="1"/>
  <c r="N2" i="1"/>
  <c r="L2" i="1"/>
  <c r="M2" i="1"/>
  <c r="K2" i="1"/>
  <c r="J2" i="1"/>
  <c r="I2" i="1"/>
  <c r="H2" i="1"/>
  <c r="G2" i="1"/>
  <c r="C2" i="1"/>
  <c r="B2" i="1"/>
</calcChain>
</file>

<file path=xl/sharedStrings.xml><?xml version="1.0" encoding="utf-8"?>
<sst xmlns="http://schemas.openxmlformats.org/spreadsheetml/2006/main" count="437" uniqueCount="291">
  <si>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</si>
  <si>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</si>
  <si>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</si>
  <si>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</si>
  <si>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</si>
  <si>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</si>
  <si>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</si>
  <si>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</si>
  <si>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</si>
  <si>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</si>
  <si>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</si>
  <si>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</si>
  <si>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</si>
  <si>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</si>
  <si>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</si>
  <si>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</si>
  <si>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</si>
  <si>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</si>
  <si>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</si>
  <si>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</si>
  <si>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</si>
  <si>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</si>
  <si>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</si>
  <si>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</si>
  <si>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 xml:space="preserve">02580ECC5  </t>
  </si>
  <si>
    <t>Fixed</t>
  </si>
  <si>
    <t xml:space="preserve">060505DA9  </t>
  </si>
  <si>
    <t xml:space="preserve">078167AZ6  </t>
  </si>
  <si>
    <t>105756AL4</t>
  </si>
  <si>
    <t>T 6.500 02/15/2010</t>
  </si>
  <si>
    <t xml:space="preserve">25156PAD5  </t>
  </si>
  <si>
    <t>459200HH7</t>
  </si>
  <si>
    <t>465410AH1</t>
  </si>
  <si>
    <t xml:space="preserve">48121CYK6  </t>
  </si>
  <si>
    <t>64110LAE6</t>
  </si>
  <si>
    <t xml:space="preserve">92553PAB8  </t>
  </si>
  <si>
    <t>CC0000498</t>
  </si>
  <si>
    <t>CC0007402</t>
  </si>
  <si>
    <t>CAN 8.00 06/01/2027</t>
  </si>
  <si>
    <t>CC0013376</t>
  </si>
  <si>
    <t>CC0019696</t>
  </si>
  <si>
    <t>EC0192244</t>
  </si>
  <si>
    <t>CAN 10.25 03/15/14</t>
  </si>
  <si>
    <t>ED0768223</t>
  </si>
  <si>
    <t>EF1156282</t>
  </si>
  <si>
    <t>EF2929901</t>
  </si>
  <si>
    <t>EF3003359</t>
  </si>
  <si>
    <t>CAN 5.750 06/01/2029</t>
  </si>
  <si>
    <t>EF4614600</t>
  </si>
  <si>
    <t>EG1006535</t>
  </si>
  <si>
    <t>EG2307056</t>
  </si>
  <si>
    <t>EG2531135</t>
  </si>
  <si>
    <t>GG7056532</t>
  </si>
  <si>
    <t>GG7202581</t>
  </si>
  <si>
    <t>=BDP($A2&amp;" CUSIP","REDEMP_VAL")</t>
  </si>
  <si>
    <t>38141G10</t>
  </si>
  <si>
    <t>37555810</t>
  </si>
  <si>
    <t>45920010</t>
  </si>
  <si>
    <t>Underlying Ticker</t>
  </si>
  <si>
    <t>CUSIP Underlying</t>
  </si>
  <si>
    <t>Position</t>
  </si>
  <si>
    <t>Put/Call Indicator</t>
  </si>
  <si>
    <t>Strike</t>
  </si>
  <si>
    <t>Exercise</t>
  </si>
  <si>
    <t>Dividend Yield</t>
  </si>
  <si>
    <t>Risk Free Rate</t>
  </si>
  <si>
    <t>Implied Volatility</t>
  </si>
  <si>
    <t>Price Underlying</t>
  </si>
  <si>
    <t>MET US</t>
  </si>
  <si>
    <t>59156R108</t>
  </si>
  <si>
    <t>Put</t>
  </si>
  <si>
    <t>European</t>
  </si>
  <si>
    <t>LMT US</t>
  </si>
  <si>
    <t>539830109</t>
  </si>
  <si>
    <t>MRK US</t>
  </si>
  <si>
    <t>58933Y105</t>
  </si>
  <si>
    <t>Call</t>
  </si>
  <si>
    <t>American</t>
  </si>
  <si>
    <t>Underlying</t>
  </si>
  <si>
    <t>Notional</t>
  </si>
  <si>
    <t>Frequency</t>
  </si>
  <si>
    <t>Lambda Time Structure</t>
  </si>
  <si>
    <t>Lambdas</t>
  </si>
  <si>
    <t>Long/Short</t>
  </si>
  <si>
    <t>Recovery</t>
  </si>
  <si>
    <t>Time Structure</t>
  </si>
  <si>
    <t>Zero Coupon</t>
  </si>
  <si>
    <t>Accuracy</t>
  </si>
  <si>
    <t>General Electric Co</t>
  </si>
  <si>
    <t>Canadian Natural Resources Ltd</t>
  </si>
  <si>
    <t>Sabre Corp</t>
  </si>
  <si>
    <t>Starwood Hotels &amp; Resorts Worl</t>
  </si>
  <si>
    <t>News Corp</t>
  </si>
  <si>
    <t>France</t>
  </si>
  <si>
    <t>Caterpillar Inc</t>
  </si>
  <si>
    <t>Wells Fargo &amp; Co</t>
  </si>
  <si>
    <t>Huntsman Corp</t>
  </si>
  <si>
    <t>Tenor</t>
  </si>
  <si>
    <t>CD972
General Electric Co USD Sr CDS Curve 06/19/16 Cusip</t>
  </si>
  <si>
    <t>CD972
General Electric Co USD Sr CDS Curve 06/19/16 Description</t>
  </si>
  <si>
    <t>CD972
General Electric Co USD Sr CDS Curve 06/19/16 Mid Spread</t>
  </si>
  <si>
    <t>Recovery Rate</t>
  </si>
  <si>
    <t>Lambda</t>
  </si>
  <si>
    <t>6M</t>
  </si>
  <si>
    <t>CT678086 Curncy</t>
  </si>
  <si>
    <t>GECO CDS USD SR 6M D14 Curncy</t>
  </si>
  <si>
    <t>1Y</t>
  </si>
  <si>
    <t>CGE1U1   Curncy</t>
  </si>
  <si>
    <t>GECO CDS USD SR 1Y D14 Curncy</t>
  </si>
  <si>
    <t>2Y</t>
  </si>
  <si>
    <t>CT678090 Curncy</t>
  </si>
  <si>
    <t>GECO CDS USD SR 2Y D14 Curncy</t>
  </si>
  <si>
    <t>3Y</t>
  </si>
  <si>
    <t>CGE1U3   Curncy</t>
  </si>
  <si>
    <t>GECO CDS USD SR 3Y D14 Curncy</t>
  </si>
  <si>
    <t>4Y</t>
  </si>
  <si>
    <t>CT678094 Curncy</t>
  </si>
  <si>
    <t>GECO CDS USD SR 4Y D14 Curncy</t>
  </si>
  <si>
    <t>5Y</t>
  </si>
  <si>
    <t>CGE1U5   Curncy</t>
  </si>
  <si>
    <t>GECO CDS USD SR 5Y D14 Curncy</t>
  </si>
  <si>
    <t>7Y</t>
  </si>
  <si>
    <t>CT353797 Curncy</t>
  </si>
  <si>
    <t>GECO CDS USD SR 7Y D14 Curncy</t>
  </si>
  <si>
    <t>10Y</t>
  </si>
  <si>
    <t>CGE1U10  Curncy</t>
  </si>
  <si>
    <t>GECO CDS USD SR 10Y D14 Curncy</t>
  </si>
  <si>
    <t>CD577
Canadian Natural Resources Ltd USD Sr CDS Curve 06/19/16 Cusip</t>
  </si>
  <si>
    <t>CD577
Canadian Natural Resources Ltd USD Sr CDS Curve 06/19/16 Description</t>
  </si>
  <si>
    <t>CD577
Canadian Natural Resources Ltd USD Sr CDS Curve 06/19/16 Mid Spread</t>
  </si>
  <si>
    <t>CX658982 Curncy</t>
  </si>
  <si>
    <t>CNQCN CDS USD SR 6M D14 Curncy</t>
  </si>
  <si>
    <t>CT363116 Curncy</t>
  </si>
  <si>
    <t>CNQCN CDS USD SR 1Y D14 Curncy</t>
  </si>
  <si>
    <t>CT363120 Curncy</t>
  </si>
  <si>
    <t>CNQCN CDS USD SR 2Y D14 Curncy</t>
  </si>
  <si>
    <t>CT363124 Curncy</t>
  </si>
  <si>
    <t>CNQCN CDS USD SR 3Y D14 Curncy</t>
  </si>
  <si>
    <t>CT363128 Curncy</t>
  </si>
  <si>
    <t>CNQCN CDS USD SR 4Y D14 Curncy</t>
  </si>
  <si>
    <t>CT363132 Curncy</t>
  </si>
  <si>
    <t>CNQCN CDS USD SR 5Y D14 Curncy</t>
  </si>
  <si>
    <t>CT363140 Curncy</t>
  </si>
  <si>
    <t>CNQCN CDS USD SR 7Y D14 Curncy</t>
  </si>
  <si>
    <t>CT363112 Curncy</t>
  </si>
  <si>
    <t>CNQCN CDS USD SR 10Y D14 Curncy</t>
  </si>
  <si>
    <t>CD2419
Sabre Holdings Corp USD Sr CDS Curve 06/19/16 Cusip</t>
  </si>
  <si>
    <t>CD2419
Sabre Holdings Corp USD Sr CDS Curve 06/19/16 Description</t>
  </si>
  <si>
    <t>CD2419
Sabre Holdings Corp USD Sr CDS Curve 06/19/16 Mid Spread</t>
  </si>
  <si>
    <t>CX665906 Curncy</t>
  </si>
  <si>
    <t>SABR CDS USD SR 6M D14 Curncy</t>
  </si>
  <si>
    <t>CTSG1U1  Curncy</t>
  </si>
  <si>
    <t>SABR CDS USD SR 1Y D14 Curncy</t>
  </si>
  <si>
    <t>CT388156 Curncy</t>
  </si>
  <si>
    <t>SABR CDS USD SR 2Y D14 Curncy</t>
  </si>
  <si>
    <t>CTSG1U3  Curncy</t>
  </si>
  <si>
    <t>SABR CDS USD SR 3Y D14 Curncy</t>
  </si>
  <si>
    <t>CT388160 Curncy</t>
  </si>
  <si>
    <t>SABR CDS USD SR 4Y D14 Curncy</t>
  </si>
  <si>
    <t>CTSG1U5  Curncy</t>
  </si>
  <si>
    <t>SABR CDS USD SR 5Y D14 Curncy</t>
  </si>
  <si>
    <t>CTSG1U7  Curncy</t>
  </si>
  <si>
    <t>SABR CDS USD SR 7Y D14 Curncy</t>
  </si>
  <si>
    <t>CTSG1U10 Curncy</t>
  </si>
  <si>
    <t>SABR CDS USD SR 10Y D14 Curncy</t>
  </si>
  <si>
    <t>CD1111
Starwood Hotels &amp; Resorts Worldwide Inc USD Sr CDS Curve 06/19/16 Cusip</t>
  </si>
  <si>
    <t>CD1111
Starwood Hotels &amp; Resorts Worldwide Inc USD Sr CDS Curve 06/19/16 Description</t>
  </si>
  <si>
    <t>CD1111
Starwood Hotels &amp; Resorts Worldwide Inc USD Sr CDS Curve 06/19/16 Mid Spread</t>
  </si>
  <si>
    <t>CT679074 Curncy</t>
  </si>
  <si>
    <t>HOT CDS USD SR 6M D14 Curncy</t>
  </si>
  <si>
    <t>CT388636 Curncy</t>
  </si>
  <si>
    <t>HOT CDS USD SR 1Y D14 Curncy</t>
  </si>
  <si>
    <t>CT388640 Curncy</t>
  </si>
  <si>
    <t>HOT CDS USD SR 2Y D14 Curncy</t>
  </si>
  <si>
    <t>CT388644 Curncy</t>
  </si>
  <si>
    <t>HOT CDS USD SR 3Y D14 Curncy</t>
  </si>
  <si>
    <t>CT388648 Curncy</t>
  </si>
  <si>
    <t>HOT CDS USD SR 4Y D14 Curncy</t>
  </si>
  <si>
    <t>CHOT1U5  Curncy</t>
  </si>
  <si>
    <t>HOT CDS USD SR 5Y D14 Curncy</t>
  </si>
  <si>
    <t>CT388656 Curncy</t>
  </si>
  <si>
    <t>HOT CDS USD SR 7Y D14 Curncy</t>
  </si>
  <si>
    <t>CT388632 Curncy</t>
  </si>
  <si>
    <t>HOT CDS USD SR 10Y D14 Curncy</t>
  </si>
  <si>
    <t>CD466
Caterpillar Inc USD Sr CDS Curve 06/19/16 Cusip</t>
  </si>
  <si>
    <t>CD466
Caterpillar Inc USD Sr CDS Curve 06/19/16 Description</t>
  </si>
  <si>
    <t>CD466
Caterpillar Inc USD Sr CDS Curve 06/19/16 Mid Spread</t>
  </si>
  <si>
    <t>CT660046 Curncy</t>
  </si>
  <si>
    <t>CAT I CDS USD SR 6M D14 Curncy</t>
  </si>
  <si>
    <t>CCAT1U1  Curncy</t>
  </si>
  <si>
    <t>CAT I CDS USD SR 1Y D14 Curncy</t>
  </si>
  <si>
    <t>CT358643 Curncy</t>
  </si>
  <si>
    <t>CAT I CDS USD SR 2Y D14 Curncy</t>
  </si>
  <si>
    <t>CCAT1U3  Curncy</t>
  </si>
  <si>
    <t>CAT I CDS USD SR 3Y D14 Curncy</t>
  </si>
  <si>
    <t>CT358647 Curncy</t>
  </si>
  <si>
    <t>CAT I CDS USD SR 4Y D14 Curncy</t>
  </si>
  <si>
    <t>CCAT1U5  Curncy</t>
  </si>
  <si>
    <t>CAT I CDS USD SR 5Y D14 Curncy</t>
  </si>
  <si>
    <t>CT353892 Curncy</t>
  </si>
  <si>
    <t>CAT I CDS USD SR 7Y D14 Curncy</t>
  </si>
  <si>
    <t>CCAT1U10 Curncy</t>
  </si>
  <si>
    <t>CAT I CDS USD SR 10Y D14 Curncy</t>
  </si>
  <si>
    <t>CD1583
Morgan Stanley USD Sr CDS Curve 06/19/16 Cusip</t>
  </si>
  <si>
    <t>CD1583
Morgan Stanley USD Sr CDS Curve 06/19/16 Description</t>
  </si>
  <si>
    <t>CD1583
Morgan Stanley USD Sr CDS Curve 06/19/16 Mid Spread</t>
  </si>
  <si>
    <t>CT659886 Curncy</t>
  </si>
  <si>
    <t>MS CDS USD SR 6M D14 Curncy</t>
  </si>
  <si>
    <t>CMWD1U1  Curncy</t>
  </si>
  <si>
    <t>MS CDS USD SR 1Y D14 Curncy</t>
  </si>
  <si>
    <t>CMWD1U2  Curncy</t>
  </si>
  <si>
    <t>MS CDS USD SR 2Y D14 Curncy</t>
  </si>
  <si>
    <t>CMWD1U3  Curncy</t>
  </si>
  <si>
    <t>MS CDS USD SR 3Y D14 Curncy</t>
  </si>
  <si>
    <t>CT425582 Curncy</t>
  </si>
  <si>
    <t>MS CDS USD SR 4Y D14 Curncy</t>
  </si>
  <si>
    <t>CMWD1U5  Curncy</t>
  </si>
  <si>
    <t>MS CDS USD SR 5Y D14 Curncy</t>
  </si>
  <si>
    <t>CMWD1U7  Curncy</t>
  </si>
  <si>
    <t>MS CDS USD SR 7Y D14 Curncy</t>
  </si>
  <si>
    <t>CMWD1U10 Curncy</t>
  </si>
  <si>
    <t>MS CDS USD SR 10Y D14 Curncy</t>
  </si>
  <si>
    <t>CD2549
Wells Fargo &amp; Co USD Sr CDS Curve 06/19/16 Cusip</t>
  </si>
  <si>
    <t>CD2549
Wells Fargo &amp; Co USD Sr CDS Curve 06/19/16 Description</t>
  </si>
  <si>
    <t>CD2549
Wells Fargo &amp; Co USD Sr CDS Curve 06/19/16 Mid Spread</t>
  </si>
  <si>
    <t>CT682050 Curncy</t>
  </si>
  <si>
    <t>WELLFARGO CDS USD SR 6M D14 Curncy</t>
  </si>
  <si>
    <t>CWFC1U1  Curncy</t>
  </si>
  <si>
    <t>WELLFARGO CDS USD SR 1Y D14 Curncy</t>
  </si>
  <si>
    <t>CT389592 Curncy</t>
  </si>
  <si>
    <t>WELLFARGO CDS USD SR 2Y D14 Curncy</t>
  </si>
  <si>
    <t>CWFC1U3  Curncy</t>
  </si>
  <si>
    <t>WELLFARGO CDS USD SR 3Y D14 Curncy</t>
  </si>
  <si>
    <t>CT389604 Curncy</t>
  </si>
  <si>
    <t>WELLFARGO CDS USD SR 4Y D14 Curncy</t>
  </si>
  <si>
    <t>CWFC1U5  Curncy</t>
  </si>
  <si>
    <t>WELLFARGO CDS USD SR 5Y D14 Curncy</t>
  </si>
  <si>
    <t>CWFC1U7  Curncy</t>
  </si>
  <si>
    <t>WELLFARGO CDS USD SR 7Y D14 Curncy</t>
  </si>
  <si>
    <t>CWFC1U10 Curncy</t>
  </si>
  <si>
    <t>WELLFARGO CDS USD SR 10Y D14 Curncy</t>
  </si>
  <si>
    <t>Description</t>
  </si>
  <si>
    <t>Mid Spread</t>
  </si>
  <si>
    <t>CX668814 Curncy</t>
  </si>
  <si>
    <t>FOXA CDS USD SR 6M D14 Curncy</t>
  </si>
  <si>
    <t>CNCPI1U1 Curncy</t>
  </si>
  <si>
    <t>FOXA CDS USD SR 1Y D14 Curncy</t>
  </si>
  <si>
    <t>CT387144 Curncy</t>
  </si>
  <si>
    <t>FOXA CDS USD SR 2Y D14 Curncy</t>
  </si>
  <si>
    <t>CNCPI1U3 Curncy</t>
  </si>
  <si>
    <t>FOXA CDS USD SR 3Y D14 Curncy</t>
  </si>
  <si>
    <t>CX357927 Curncy</t>
  </si>
  <si>
    <t>FOXA CDS USD SR 4Y D14 Curncy</t>
  </si>
  <si>
    <t>CNCP1U5  Curncy</t>
  </si>
  <si>
    <t>FOXA CDS USD SR 5Y D14 Curncy</t>
  </si>
  <si>
    <t>CT387152 Curncy</t>
  </si>
  <si>
    <t>FOXA CDS USD SR 7Y D14 Curncy</t>
  </si>
  <si>
    <t>CT387140 Curncy</t>
  </si>
  <si>
    <t>FOXA CDS USD SR 10Y D14 Curncy</t>
  </si>
  <si>
    <t>CY004534 Curncy</t>
  </si>
  <si>
    <t>FRANCE CDS USD SR 6M D14 Curncy</t>
  </si>
  <si>
    <t>CFRTR1U1 Curncy</t>
  </si>
  <si>
    <t>FRANCE CDS USD SR 1Y D14 Curncy</t>
  </si>
  <si>
    <t>CT412190 Curncy</t>
  </si>
  <si>
    <t>FRANCE CDS USD SR 2Y D14 Curncy</t>
  </si>
  <si>
    <t>CFRTR1U3 Curncy</t>
  </si>
  <si>
    <t>FRANCE CDS USD SR 3Y D14 Curncy</t>
  </si>
  <si>
    <t>CT412194 Curncy</t>
  </si>
  <si>
    <t>FRANCE CDS USD SR 4Y D14 Curncy</t>
  </si>
  <si>
    <t>CFRTR1U5 Curncy</t>
  </si>
  <si>
    <t>FRANCE CDS USD SR 5Y D14 Curncy</t>
  </si>
  <si>
    <t>CT412198 Curncy</t>
  </si>
  <si>
    <t>FRANCE CDS USD SR 7Y D14 Curncy</t>
  </si>
  <si>
    <t>CFRT1U10 Curncy</t>
  </si>
  <si>
    <t>FRANCE CDS USD SR 10Y D14 Curncy</t>
  </si>
  <si>
    <t>CT676466 Curncy</t>
  </si>
  <si>
    <t>DOWCHEM CDS USD SR 6M D14 Curncy</t>
  </si>
  <si>
    <t>CDOW1U1  Curncy</t>
  </si>
  <si>
    <t>DOWCHEM CDS USD SR 1Y D14 Curncy</t>
  </si>
  <si>
    <t>CT384464 Curncy</t>
  </si>
  <si>
    <t>DOWCHEM CDS USD SR 2Y D14 Curncy</t>
  </si>
  <si>
    <t>CDOW1U3  Curncy</t>
  </si>
  <si>
    <t>DOWCHEM CDS USD SR 3Y D14 Curncy</t>
  </si>
  <si>
    <t>CT384468 Curncy</t>
  </si>
  <si>
    <t>DOWCHEM CDS USD SR 4Y D14 Curncy</t>
  </si>
  <si>
    <t>CDOW1U5  Curncy</t>
  </si>
  <si>
    <t>DOWCHEM CDS USD SR 5Y D14 Curncy</t>
  </si>
  <si>
    <t>CDOW1U7  Curncy</t>
  </si>
  <si>
    <t>DOWCHEM CDS USD SR 7Y D14 Curncy</t>
  </si>
  <si>
    <t>CDOW1U10 Curncy</t>
  </si>
  <si>
    <t>DOWCHEM CDS USD SR 10Y D14 Curncy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</si>
</sst>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</numFmts>
  <fonts count="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1" fillId="0" borderId="0"/>
    <xf numFmtId="0" fontId="5" fillId="2" borderId="0"/>
  </cellStyleXfs>
  <cellXfs count="23">
    <xf numFmtId="0" fontId="0" fillId="0" borderId="0" xfId="0"/>
    <xf numFmtId="0" fontId="3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2" fillId="0" borderId="0" xfId="1" applyNumberFormat="1" applyFont="1" applyFill="1" applyAlignment="1">
      <alignment horizontal="left"/>
    </xf>
    <xf numFmtId="164" fontId="0" fillId="0" borderId="0" xfId="1" applyFont="1"/>
    <xf numFmtId="10" fontId="0" fillId="0" borderId="0" xfId="2" applyNumberFormat="1" applyFont="1"/>
    <xf numFmtId="2" fontId="0" fillId="0" borderId="0" xfId="0" applyNumberFormat="1"/>
    <xf numFmtId="0" fontId="2" fillId="0" borderId="0" xfId="0" applyFont="1" applyFill="1" applyAlignment="1">
      <alignment horizontal="left"/>
    </xf>
    <xf numFmtId="0" fontId="3" fillId="0" borderId="0" xfId="3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164" fontId="0" fillId="0" borderId="0" xfId="0" applyNumberFormat="1"/>
    <xf numFmtId="0" fontId="0" fillId="0" borderId="0" xfId="0" quotePrefix="1"/>
    <xf numFmtId="166" fontId="3" fillId="0" borderId="0" xfId="1" applyNumberFormat="1" applyFont="1" applyFill="1" applyAlignment="1">
      <alignment horizontal="left"/>
    </xf>
    <xf numFmtId="165" fontId="2" fillId="0" borderId="0" xfId="1" applyNumberFormat="1" applyFont="1" applyFill="1"/>
    <xf numFmtId="165" fontId="0" fillId="0" borderId="0" xfId="1" applyNumberFormat="1" applyFont="1"/>
    <xf numFmtId="14" fontId="0" fillId="0" borderId="0" xfId="0" applyNumberFormat="1"/>
    <xf numFmtId="167" fontId="2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2" fillId="0" borderId="0" xfId="0" applyFont="1" applyFill="1" applyAlignment="1">
      <alignment horizontal="center"/>
    </xf>
    <xf numFmtId="0" fontId="1" fillId="0" borderId="0" xfId="4"/>
    <xf numFmtId="0" fontId="1" fillId="0" borderId="0" xfId="4" applyAlignment="1">
      <alignment horizontal="center"/>
    </xf>
    <xf numFmtId="0" fontId="5" fillId="2" borderId="0" xfId="5" applyNumberFormat="1" applyFont="1" applyFill="1" applyBorder="1" applyAlignment="1" applyProtection="1">
      <alignment horizontal="center"/>
    </xf>
  </cellXfs>
  <cellStyles count="6">
    <cellStyle name="blp_column_header" xfId="5"/>
    <cellStyle name="Millares" xfId="1" builtinId="3"/>
    <cellStyle name="Normal" xfId="0" builtinId="0"/>
    <cellStyle name="Normal 2" xfId="3"/>
    <cellStyle name="Normal 3" xfId="4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7"/>
  <sheetViews>
    <sheetView workbookViewId="0">
      <selection activeCell="F2" sqref="F2:F26"/>
    </sheetView>
  </sheetViews>
  <sheetFormatPr defaultRowHeight="15.75"/>
  <cols>
    <col min="1" max="1" width="13" bestFit="1" customWidth="1"/>
    <col min="3" max="3" width="10.875" bestFit="1" customWidth="1"/>
    <col min="4" max="4" width="12.625" bestFit="1" customWidth="1"/>
    <col min="6" max="6" width="17.375" bestFit="1" customWidth="1"/>
    <col min="7" max="7" width="15.875" bestFit="1" customWidth="1"/>
    <col min="12" max="12" width="10.375" bestFit="1" customWidth="1"/>
    <col min="13" max="13" width="14.5" bestFit="1" customWidth="1"/>
    <col min="15" max="15" width="16.75" bestFit="1" customWidth="1"/>
    <col min="16" max="16" width="11.125" bestFit="1" customWidth="1"/>
    <col min="23" max="23" width="19.625" bestFit="1" customWidth="1"/>
  </cols>
  <sheetData>
    <row r="1" spans="1:24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>
      <c r="A2" s="3" t="s">
        <v>24</v>
      </c>
      <c r="B2" t="e">
        <f ca="1">_xll.BDP(A2&amp;" CUSIP", "TICKER")</f>
        <v>#NAME?</v>
      </c>
      <c r="C2" t="e">
        <f ca="1">_xll.BDP(A2&amp;" CUSIP", "ID_CUSIP_REAL")</f>
        <v>#NAME?</v>
      </c>
      <c r="D2" s="4">
        <v>3100000</v>
      </c>
      <c r="E2" t="e">
        <f ca="1">_xll.BDP(A2&amp;" CUSIP","LAST_PRICE")</f>
        <v>#NAME?</v>
      </c>
      <c r="F2" s="5" t="e">
        <f ca="1">+D2*E2</f>
        <v>#NAME?</v>
      </c>
      <c r="G2" t="e">
        <f ca="1">_xll.BDP(A2&amp;" CUSIP", "CPN_FREQ")</f>
        <v>#NAME?</v>
      </c>
      <c r="H2" t="e">
        <f ca="1">_xll.BDP(A2&amp;" CUSIP","CRNCY")</f>
        <v>#NAME?</v>
      </c>
      <c r="I2" t="e">
        <f ca="1">_xll.BDP($A2&amp;" CUSIP","RTG_MOODY")</f>
        <v>#NAME?</v>
      </c>
      <c r="J2" t="e">
        <f ca="1">_xll.BDP($A2&amp;" CUSIP","RTG_SP")</f>
        <v>#NAME?</v>
      </c>
      <c r="K2" t="e">
        <f ca="1">_xll.BDP($A2&amp;" CUSIP","RTG_DBRS")</f>
        <v>#NAME?</v>
      </c>
      <c r="L2" t="e">
        <f ca="1">_xll.BDP($A2&amp;" CUSIP","MATURITY")</f>
        <v>#NAME?</v>
      </c>
      <c r="M2" t="e">
        <f ca="1">+L2-TODAY()</f>
        <v>#NAME?</v>
      </c>
      <c r="N2" s="6" t="e">
        <f ca="1">_xll.BDP($A2&amp;" CUSIP","CPN")/100</f>
        <v>#NAME?</v>
      </c>
      <c r="O2" s="6" t="e">
        <f ca="1">+F2/SUM($F$2:$F$26)</f>
        <v>#NAME?</v>
      </c>
      <c r="P2" t="s">
        <v>25</v>
      </c>
      <c r="Q2" s="7" t="e">
        <f ca="1">_xll.BDP(A2&amp;" CUSIP","YLD_YTM_MID")</f>
        <v>#NAME?</v>
      </c>
      <c r="R2" s="7" t="e">
        <f ca="1">_xll.BDP($A2&amp;" CUSIP","YAS_MOD_DUR")</f>
        <v>#NAME?</v>
      </c>
      <c r="S2" s="7" t="e">
        <f ca="1">_xll.BDP($A2&amp;" CUSIP","CNVX_MID")</f>
        <v>#NAME?</v>
      </c>
      <c r="U2" t="e">
        <f ca="1">_xll.BDP($A2&amp;" CUSIP","VOLATILITY_360D")</f>
        <v>#NAME?</v>
      </c>
      <c r="V2" t="e">
        <f ca="1">_xll.BDP($A2&amp;" CUSIP","YAS_YLD_SPREAD")</f>
        <v>#NAME?</v>
      </c>
      <c r="W2" t="e">
        <f ca="1">_xll.BDP($A2&amp;" CUSIP","BLP_SPREAD_BENCHMARK_NAME_RT")</f>
        <v>#NAME?</v>
      </c>
      <c r="X2">
        <v>100</v>
      </c>
    </row>
    <row r="3" spans="1:24">
      <c r="A3" s="8" t="s">
        <v>26</v>
      </c>
      <c r="B3" t="e">
        <f ca="1">_xll.BDP(A3&amp;" CUSIP", "TICKER")</f>
        <v>#NAME?</v>
      </c>
      <c r="C3" t="e">
        <f ca="1">_xll.BDP(A3&amp;" CUSIP", "ID_CUSIP_REAL")</f>
        <v>#NAME?</v>
      </c>
      <c r="D3" s="4">
        <v>1100000</v>
      </c>
      <c r="E3" t="e">
        <f ca="1">_xll.BDP(A3&amp;" CUSIP","LAST_PRICE")</f>
        <v>#NAME?</v>
      </c>
      <c r="F3" s="5" t="e">
        <f t="shared" ref="F3:F26" ca="1" si="0">+D3*E3</f>
        <v>#NAME?</v>
      </c>
      <c r="G3" t="e">
        <f ca="1">_xll.BDP(A3&amp;" CUSIP", "CPN_FREQ")</f>
        <v>#NAME?</v>
      </c>
      <c r="H3" t="e">
        <f ca="1">_xll.BDP(A3&amp;" CUSIP","CRNCY")</f>
        <v>#NAME?</v>
      </c>
      <c r="I3" t="e">
        <f ca="1">_xll.BDP($A3&amp;" CUSIP","RTG_MOODY")</f>
        <v>#NAME?</v>
      </c>
      <c r="J3" t="e">
        <f ca="1">_xll.BDP($A3&amp;" CUSIP","RTG_SP")</f>
        <v>#NAME?</v>
      </c>
      <c r="K3" t="e">
        <f ca="1">_xll.BDP($A3&amp;" CUSIP","RTG_DBRS")</f>
        <v>#NAME?</v>
      </c>
      <c r="L3" t="e">
        <f ca="1">_xll.BDP($A3&amp;" CUSIP","MATURITY")</f>
        <v>#NAME?</v>
      </c>
      <c r="M3" t="e">
        <f t="shared" ref="M3:M26" ca="1" si="1">+L3-TODAY()</f>
        <v>#NAME?</v>
      </c>
      <c r="N3" s="6" t="e">
        <f ca="1">_xll.BDP($A3&amp;" CUSIP","CPN")/100</f>
        <v>#NAME?</v>
      </c>
      <c r="O3" s="6" t="e">
        <f t="shared" ref="O3:O26" ca="1" si="2">+F3/SUM($F$2:$F$26)</f>
        <v>#NAME?</v>
      </c>
      <c r="P3" t="s">
        <v>25</v>
      </c>
      <c r="Q3" s="7" t="e">
        <f ca="1">_xll.BDP(A3&amp;" CUSIP","YLD_YTM_MID")</f>
        <v>#NAME?</v>
      </c>
      <c r="R3" s="7" t="e">
        <f ca="1">_xll.BDP($A3&amp;" CUSIP","YAS_MOD_DUR")</f>
        <v>#NAME?</v>
      </c>
      <c r="S3" s="7" t="e">
        <f ca="1">_xll.BDP($A3&amp;" CUSIP","CNVX_MID")</f>
        <v>#NAME?</v>
      </c>
      <c r="U3" t="e">
        <f ca="1">_xll.BDP($A3&amp;" CUSIP","VOLATILITY_360D")</f>
        <v>#NAME?</v>
      </c>
      <c r="V3" t="e">
        <f ca="1">_xll.BDP($A3&amp;" CUSIP","YAS_YLD_SPREAD")</f>
        <v>#NAME?</v>
      </c>
      <c r="W3" t="e">
        <f ca="1">_xll.BDP($A3&amp;" CUSIP","BLP_SPREAD_BENCHMARK_NAME_RT")</f>
        <v>#NAME?</v>
      </c>
      <c r="X3">
        <v>100</v>
      </c>
    </row>
    <row r="4" spans="1:24">
      <c r="A4" s="8" t="s">
        <v>27</v>
      </c>
      <c r="B4" t="e">
        <f ca="1">_xll.BDP(A4&amp;" CUSIP", "TICKER")</f>
        <v>#NAME?</v>
      </c>
      <c r="C4" t="e">
        <f ca="1">_xll.BDP(A4&amp;" CUSIP", "ID_CUSIP_REAL")</f>
        <v>#NAME?</v>
      </c>
      <c r="D4" s="4">
        <v>26600000</v>
      </c>
      <c r="E4" t="e">
        <f ca="1">_xll.BDP(A4&amp;" CUSIP","LAST_PRICE")</f>
        <v>#NAME?</v>
      </c>
      <c r="F4" s="5" t="e">
        <f t="shared" ca="1" si="0"/>
        <v>#NAME?</v>
      </c>
      <c r="G4" t="e">
        <f ca="1">_xll.BDP(A4&amp;" CUSIP", "CPN_FREQ")</f>
        <v>#NAME?</v>
      </c>
      <c r="H4" t="e">
        <f ca="1">_xll.BDP(A4&amp;" CUSIP","CRNCY")</f>
        <v>#NAME?</v>
      </c>
      <c r="I4" t="e">
        <f ca="1">_xll.BDP($A4&amp;" CUSIP","RTG_MOODY")</f>
        <v>#NAME?</v>
      </c>
      <c r="J4" t="e">
        <f ca="1">_xll.BDP($A4&amp;" CUSIP","RTG_SP")</f>
        <v>#NAME?</v>
      </c>
      <c r="K4" t="e">
        <f ca="1">_xll.BDP($A4&amp;" CUSIP","RTG_DBRS")</f>
        <v>#NAME?</v>
      </c>
      <c r="L4" t="e">
        <f ca="1">_xll.BDP($A4&amp;" CUSIP","MATURITY")</f>
        <v>#NAME?</v>
      </c>
      <c r="M4" t="e">
        <f t="shared" ca="1" si="1"/>
        <v>#NAME?</v>
      </c>
      <c r="N4" s="6" t="e">
        <f ca="1">_xll.BDP($A4&amp;" CUSIP","CPN")/100</f>
        <v>#NAME?</v>
      </c>
      <c r="O4" s="6" t="e">
        <f t="shared" ca="1" si="2"/>
        <v>#NAME?</v>
      </c>
      <c r="P4" t="s">
        <v>25</v>
      </c>
      <c r="Q4" s="7" t="e">
        <f ca="1">_xll.BDP(A4&amp;" CUSIP","YLD_YTM_MID")</f>
        <v>#NAME?</v>
      </c>
      <c r="R4" s="7" t="e">
        <f ca="1">_xll.BDP($A4&amp;" CUSIP","YAS_MOD_DUR")</f>
        <v>#NAME?</v>
      </c>
      <c r="S4" s="7" t="e">
        <f ca="1">_xll.BDP($A4&amp;" CUSIP","CNVX_MID")</f>
        <v>#NAME?</v>
      </c>
      <c r="V4" t="e">
        <f ca="1">_xll.BDP($A4&amp;" CUSIP","YAS_YLD_SPREAD")</f>
        <v>#NAME?</v>
      </c>
      <c r="W4" t="e">
        <f ca="1">_xll.BDP($A4&amp;" CUSIP","BLP_SPREAD_BENCHMARK_NAME_RT")</f>
        <v>#NAME?</v>
      </c>
      <c r="X4">
        <v>100</v>
      </c>
    </row>
    <row r="5" spans="1:24">
      <c r="A5" s="8" t="s">
        <v>28</v>
      </c>
      <c r="B5" t="e">
        <f ca="1">_xll.BDP(A5&amp;" CUSIP", "TICKER")</f>
        <v>#NAME?</v>
      </c>
      <c r="C5" t="e">
        <f ca="1">_xll.BDP(A5&amp;" CUSIP", "ID_CUSIP_REAL")</f>
        <v>#NAME?</v>
      </c>
      <c r="D5" s="4">
        <v>3600000</v>
      </c>
      <c r="E5" t="e">
        <f ca="1">_xll.BDP(A5&amp;" CUSIP","LAST_PRICE")</f>
        <v>#NAME?</v>
      </c>
      <c r="F5" s="5" t="e">
        <f t="shared" ca="1" si="0"/>
        <v>#NAME?</v>
      </c>
      <c r="G5" t="e">
        <f ca="1">_xll.BDP(A5&amp;" CUSIP", "CPN_FREQ")</f>
        <v>#NAME?</v>
      </c>
      <c r="H5" t="e">
        <f ca="1">_xll.BDP(A5&amp;" CUSIP","CRNCY")</f>
        <v>#NAME?</v>
      </c>
      <c r="I5" t="e">
        <f ca="1">_xll.BDP($A5&amp;" CUSIP","RTG_MOODY")</f>
        <v>#NAME?</v>
      </c>
      <c r="J5" t="e">
        <f ca="1">_xll.BDP($A5&amp;" CUSIP","RTG_SP")</f>
        <v>#NAME?</v>
      </c>
      <c r="K5" t="e">
        <f ca="1">_xll.BDP($A5&amp;" CUSIP","RTG_DBRS")</f>
        <v>#NAME?</v>
      </c>
      <c r="L5" t="e">
        <f ca="1">_xll.BDP($A5&amp;" CUSIP","MATURITY")</f>
        <v>#NAME?</v>
      </c>
      <c r="M5" t="e">
        <f t="shared" ca="1" si="1"/>
        <v>#NAME?</v>
      </c>
      <c r="N5" s="6" t="e">
        <f ca="1">_xll.BDP($A5&amp;" CUSIP","CPN")/100</f>
        <v>#NAME?</v>
      </c>
      <c r="O5" s="6" t="e">
        <f t="shared" ca="1" si="2"/>
        <v>#NAME?</v>
      </c>
      <c r="P5" t="s">
        <v>25</v>
      </c>
      <c r="Q5" s="7" t="e">
        <f ca="1">_xll.BDP(A5&amp;" CUSIP","YLD_YTM_MID")</f>
        <v>#NAME?</v>
      </c>
      <c r="R5" s="7" t="e">
        <f ca="1">_xll.BDP($A5&amp;" CUSIP","YAS_MOD_DUR")</f>
        <v>#NAME?</v>
      </c>
      <c r="S5" s="7" t="e">
        <f ca="1">_xll.BDP($A5&amp;" CUSIP","CNVX_MID")</f>
        <v>#NAME?</v>
      </c>
      <c r="U5" t="e">
        <f ca="1">_xll.BDP($A5&amp;" CUSIP","VOLATILITY_360D")</f>
        <v>#NAME?</v>
      </c>
      <c r="V5" t="e">
        <f ca="1">_xll.BDP($A5&amp;" CUSIP","YAS_YLD_SPREAD")</f>
        <v>#NAME?</v>
      </c>
      <c r="W5" t="s">
        <v>29</v>
      </c>
      <c r="X5">
        <v>100</v>
      </c>
    </row>
    <row r="6" spans="1:24">
      <c r="A6" s="8" t="s">
        <v>30</v>
      </c>
      <c r="B6" t="e">
        <f ca="1">_xll.BDP(A6&amp;" CUSIP", "TICKER")</f>
        <v>#NAME?</v>
      </c>
      <c r="C6" t="e">
        <f ca="1">_xll.BDP(A6&amp;" CUSIP", "ID_CUSIP_REAL")</f>
        <v>#NAME?</v>
      </c>
      <c r="D6" s="4">
        <v>29600000</v>
      </c>
      <c r="E6" t="e">
        <f ca="1">_xll.BDP(A6&amp;" CUSIP","LAST_PRICE")</f>
        <v>#NAME?</v>
      </c>
      <c r="F6" s="5" t="e">
        <f t="shared" ca="1" si="0"/>
        <v>#NAME?</v>
      </c>
      <c r="G6" t="e">
        <f ca="1">_xll.BDP(A6&amp;" CUSIP", "CPN_FREQ")</f>
        <v>#NAME?</v>
      </c>
      <c r="H6" t="e">
        <f ca="1">_xll.BDP(A6&amp;" CUSIP","CRNCY")</f>
        <v>#NAME?</v>
      </c>
      <c r="I6" t="e">
        <f ca="1">_xll.BDP($A6&amp;" CUSIP","RTG_MOODY")</f>
        <v>#NAME?</v>
      </c>
      <c r="J6" t="e">
        <f ca="1">_xll.BDP($A6&amp;" CUSIP","RTG_SP")</f>
        <v>#NAME?</v>
      </c>
      <c r="K6" t="e">
        <f ca="1">_xll.BDP($A6&amp;" CUSIP","RTG_DBRS")</f>
        <v>#NAME?</v>
      </c>
      <c r="L6" t="e">
        <f ca="1">_xll.BDP($A6&amp;" CUSIP","MATURITY")</f>
        <v>#NAME?</v>
      </c>
      <c r="M6" t="e">
        <f t="shared" ca="1" si="1"/>
        <v>#NAME?</v>
      </c>
      <c r="N6" s="6" t="e">
        <f ca="1">_xll.BDP($A6&amp;" CUSIP","CPN")/100</f>
        <v>#NAME?</v>
      </c>
      <c r="O6" s="6" t="e">
        <f t="shared" ca="1" si="2"/>
        <v>#NAME?</v>
      </c>
      <c r="P6" t="s">
        <v>25</v>
      </c>
      <c r="Q6" s="7" t="e">
        <f ca="1">_xll.BDP(A6&amp;" CUSIP","YLD_YTM_MID")</f>
        <v>#NAME?</v>
      </c>
      <c r="R6" s="7" t="e">
        <f ca="1">_xll.BDP($A6&amp;" CUSIP","YAS_MOD_DUR")</f>
        <v>#NAME?</v>
      </c>
      <c r="S6" s="7" t="e">
        <f ca="1">_xll.BDP($A6&amp;" CUSIP","CNVX_MID")</f>
        <v>#NAME?</v>
      </c>
      <c r="V6" t="e">
        <f ca="1">_xll.BDP($A6&amp;" CUSIP","YAS_YLD_SPREAD")</f>
        <v>#NAME?</v>
      </c>
      <c r="W6" t="e">
        <f ca="1">_xll.BDP($A6&amp;" CUSIP","BLP_SPREAD_BENCHMARK_NAME_RT")</f>
        <v>#NAME?</v>
      </c>
      <c r="X6">
        <v>100</v>
      </c>
    </row>
    <row r="7" spans="1:24">
      <c r="A7" s="8" t="s">
        <v>31</v>
      </c>
      <c r="B7" t="e">
        <f ca="1">_xll.BDP(A7&amp;" CUSIP", "TICKER")</f>
        <v>#NAME?</v>
      </c>
      <c r="C7" t="e">
        <f ca="1">_xll.BDP(A7&amp;" CUSIP", "ID_CUSIP_REAL")</f>
        <v>#NAME?</v>
      </c>
      <c r="D7" s="4">
        <v>12400000</v>
      </c>
      <c r="E7" t="e">
        <f ca="1">_xll.BDP(A7&amp;" CUSIP","LAST_PRICE")</f>
        <v>#NAME?</v>
      </c>
      <c r="F7" s="5" t="e">
        <f t="shared" ca="1" si="0"/>
        <v>#NAME?</v>
      </c>
      <c r="G7" t="e">
        <f ca="1">_xll.BDP(A7&amp;" CUSIP", "CPN_FREQ")</f>
        <v>#NAME?</v>
      </c>
      <c r="H7" t="e">
        <f ca="1">_xll.BDP(A7&amp;" CUSIP","CRNCY")</f>
        <v>#NAME?</v>
      </c>
      <c r="I7" t="e">
        <f ca="1">_xll.BDP($A7&amp;" CUSIP","RTG_MOODY")</f>
        <v>#NAME?</v>
      </c>
      <c r="J7" t="e">
        <f ca="1">_xll.BDP($A7&amp;" CUSIP","RTG_SP")</f>
        <v>#NAME?</v>
      </c>
      <c r="K7" t="e">
        <f ca="1">_xll.BDP($A7&amp;" CUSIP","RTG_DBRS")</f>
        <v>#NAME?</v>
      </c>
      <c r="L7" t="e">
        <f ca="1">_xll.BDP($A7&amp;" CUSIP","MATURITY")</f>
        <v>#NAME?</v>
      </c>
      <c r="M7" t="e">
        <f t="shared" ca="1" si="1"/>
        <v>#NAME?</v>
      </c>
      <c r="N7" s="6" t="e">
        <f ca="1">_xll.BDP($A7&amp;" CUSIP","CPN")/100</f>
        <v>#NAME?</v>
      </c>
      <c r="O7" s="6" t="e">
        <f t="shared" ca="1" si="2"/>
        <v>#NAME?</v>
      </c>
      <c r="P7" t="s">
        <v>25</v>
      </c>
      <c r="Q7" s="7" t="e">
        <f ca="1">_xll.BDP(A7&amp;" CUSIP","YLD_YTM_MID")</f>
        <v>#NAME?</v>
      </c>
      <c r="R7" s="7" t="e">
        <f ca="1">_xll.BDP($A7&amp;" CUSIP","YAS_MOD_DUR")</f>
        <v>#NAME?</v>
      </c>
      <c r="S7" s="7" t="e">
        <f ca="1">_xll.BDP($A7&amp;" CUSIP","CNVX_MID")</f>
        <v>#NAME?</v>
      </c>
      <c r="U7" t="e">
        <f ca="1">_xll.BDP($A7&amp;" CUSIP","VOLATILITY_360D")</f>
        <v>#NAME?</v>
      </c>
      <c r="V7" t="e">
        <f ca="1">_xll.BDP($A7&amp;" CUSIP","YAS_YLD_SPREAD")</f>
        <v>#NAME?</v>
      </c>
      <c r="W7" t="e">
        <f ca="1">_xll.BDP($A7&amp;" CUSIP","BLP_SPREAD_BENCHMARK_NAME_RT")</f>
        <v>#NAME?</v>
      </c>
      <c r="X7">
        <v>100</v>
      </c>
    </row>
    <row r="8" spans="1:24">
      <c r="A8" s="8" t="s">
        <v>32</v>
      </c>
      <c r="B8" t="e">
        <f ca="1">_xll.BDP(A8&amp;" CUSIP", "TICKER")</f>
        <v>#NAME?</v>
      </c>
      <c r="C8" t="e">
        <f ca="1">_xll.BDP(A8&amp;" CUSIP", "ID_CUSIP_REAL")</f>
        <v>#NAME?</v>
      </c>
      <c r="D8" s="4">
        <v>17000000</v>
      </c>
      <c r="E8" t="e">
        <f ca="1">_xll.BDP(A8&amp;" CUSIP","LAST_PRICE")</f>
        <v>#NAME?</v>
      </c>
      <c r="F8" s="5" t="e">
        <f t="shared" ca="1" si="0"/>
        <v>#NAME?</v>
      </c>
      <c r="G8" t="e">
        <f ca="1">_xll.BDP(A8&amp;" CUSIP", "CPN_FREQ")</f>
        <v>#NAME?</v>
      </c>
      <c r="H8" t="e">
        <f ca="1">_xll.BDP(A8&amp;" CUSIP","CRNCY")</f>
        <v>#NAME?</v>
      </c>
      <c r="I8" t="e">
        <f ca="1">_xll.BDP($A8&amp;" CUSIP","RTG_MOODY")</f>
        <v>#NAME?</v>
      </c>
      <c r="J8" t="e">
        <f ca="1">_xll.BDP($A8&amp;" CUSIP","RTG_SP")</f>
        <v>#NAME?</v>
      </c>
      <c r="K8" t="e">
        <f ca="1">_xll.BDP($A8&amp;" CUSIP","RTG_DBRS")</f>
        <v>#NAME?</v>
      </c>
      <c r="L8" t="e">
        <f ca="1">_xll.BDP($A8&amp;" CUSIP","MATURITY")</f>
        <v>#NAME?</v>
      </c>
      <c r="M8" t="e">
        <f t="shared" ca="1" si="1"/>
        <v>#NAME?</v>
      </c>
      <c r="N8" s="6" t="e">
        <f ca="1">_xll.BDP($A8&amp;" CUSIP","CPN")/100</f>
        <v>#NAME?</v>
      </c>
      <c r="O8" s="6" t="e">
        <f t="shared" ca="1" si="2"/>
        <v>#NAME?</v>
      </c>
      <c r="P8" t="s">
        <v>25</v>
      </c>
      <c r="Q8" s="7" t="e">
        <f ca="1">_xll.BDP(A8&amp;" CUSIP","YLD_YTM_MID")</f>
        <v>#NAME?</v>
      </c>
      <c r="R8" s="7" t="e">
        <f ca="1">_xll.BDP($A8&amp;" CUSIP","YAS_MOD_DUR")</f>
        <v>#NAME?</v>
      </c>
      <c r="S8" s="7" t="e">
        <f ca="1">_xll.BDP($A8&amp;" CUSIP","CNVX_MID")</f>
        <v>#NAME?</v>
      </c>
      <c r="U8" t="e">
        <f ca="1">_xll.BDP($A8&amp;" CUSIP","VOLATILITY_360D")</f>
        <v>#NAME?</v>
      </c>
      <c r="V8" t="e">
        <f ca="1">_xll.BDP($A8&amp;" CUSIP","YAS_YLD_SPREAD")</f>
        <v>#NAME?</v>
      </c>
      <c r="W8" t="e">
        <f ca="1">_xll.BDP($A8&amp;" CUSIP","BLP_SPREAD_BENCHMARK_NAME_RT")</f>
        <v>#NAME?</v>
      </c>
      <c r="X8">
        <v>100</v>
      </c>
    </row>
    <row r="9" spans="1:24">
      <c r="A9" s="9" t="s">
        <v>33</v>
      </c>
      <c r="B9" t="e">
        <f ca="1">_xll.BDP(A9&amp;" CUSIP", "TICKER")</f>
        <v>#NAME?</v>
      </c>
      <c r="C9" t="e">
        <f ca="1">_xll.BDP(A9&amp;" CUSIP", "ID_CUSIP_REAL")</f>
        <v>#NAME?</v>
      </c>
      <c r="D9" s="4">
        <v>-25800000</v>
      </c>
      <c r="E9" t="e">
        <f ca="1">_xll.BDP(A9&amp;" CUSIP","LAST_PRICE")</f>
        <v>#NAME?</v>
      </c>
      <c r="F9" s="5" t="e">
        <f t="shared" ca="1" si="0"/>
        <v>#NAME?</v>
      </c>
      <c r="G9" t="e">
        <f ca="1">_xll.BDP(A9&amp;" CUSIP", "CPN_FREQ")</f>
        <v>#NAME?</v>
      </c>
      <c r="H9" t="e">
        <f ca="1">_xll.BDP(A9&amp;" CUSIP","CRNCY")</f>
        <v>#NAME?</v>
      </c>
      <c r="I9" t="e">
        <f ca="1">_xll.BDP($A9&amp;" CUSIP","RTG_MOODY")</f>
        <v>#NAME?</v>
      </c>
      <c r="J9" t="e">
        <f ca="1">_xll.BDP($A9&amp;" CUSIP","RTG_SP")</f>
        <v>#NAME?</v>
      </c>
      <c r="K9" t="e">
        <f ca="1">_xll.BDP($A9&amp;" CUSIP","RTG_DBRS")</f>
        <v>#NAME?</v>
      </c>
      <c r="L9" t="e">
        <f ca="1">_xll.BDP($A9&amp;" CUSIP","MATURITY")</f>
        <v>#NAME?</v>
      </c>
      <c r="M9" t="e">
        <f t="shared" ca="1" si="1"/>
        <v>#NAME?</v>
      </c>
      <c r="N9" s="6" t="e">
        <f ca="1">_xll.BDP($A9&amp;" CUSIP","CPN")/100</f>
        <v>#NAME?</v>
      </c>
      <c r="O9" s="6" t="e">
        <f t="shared" ca="1" si="2"/>
        <v>#NAME?</v>
      </c>
      <c r="P9" t="s">
        <v>25</v>
      </c>
      <c r="Q9" s="7" t="e">
        <f ca="1">_xll.BDP(A9&amp;" CUSIP","YLD_YTM_MID")</f>
        <v>#NAME?</v>
      </c>
      <c r="R9" s="7" t="e">
        <f ca="1">_xll.BDP($A9&amp;" CUSIP","YAS_MOD_DUR")</f>
        <v>#NAME?</v>
      </c>
      <c r="S9" s="7" t="e">
        <f ca="1">_xll.BDP($A9&amp;" CUSIP","CNVX_MID")</f>
        <v>#NAME?</v>
      </c>
      <c r="U9" t="e">
        <f ca="1">_xll.BDP($A9&amp;" CUSIP","VOLATILITY_360D")</f>
        <v>#NAME?</v>
      </c>
      <c r="V9" t="e">
        <f ca="1">_xll.BDP($A9&amp;" CUSIP","YAS_YLD_SPREAD")</f>
        <v>#NAME?</v>
      </c>
      <c r="W9" t="e">
        <f ca="1">_xll.BDP($A9&amp;" CUSIP","BLP_SPREAD_BENCHMARK_NAME_RT")</f>
        <v>#NAME?</v>
      </c>
      <c r="X9">
        <v>100</v>
      </c>
    </row>
    <row r="10" spans="1:24">
      <c r="A10" s="8" t="s">
        <v>34</v>
      </c>
      <c r="B10" t="e">
        <f ca="1">_xll.BDP(A10&amp;" CUSIP", "TICKER")</f>
        <v>#NAME?</v>
      </c>
      <c r="C10" t="e">
        <f ca="1">_xll.BDP(A10&amp;" CUSIP", "ID_CUSIP_REAL")</f>
        <v>#NAME?</v>
      </c>
      <c r="D10" s="4">
        <v>-1600000</v>
      </c>
      <c r="E10" t="e">
        <f ca="1">_xll.BDP(A10&amp;" CUSIP","LAST_PRICE")</f>
        <v>#NAME?</v>
      </c>
      <c r="F10" s="5" t="e">
        <f t="shared" ca="1" si="0"/>
        <v>#NAME?</v>
      </c>
      <c r="G10" t="e">
        <f ca="1">_xll.BDP(A10&amp;" CUSIP", "CPN_FREQ")</f>
        <v>#NAME?</v>
      </c>
      <c r="H10" t="e">
        <f ca="1">_xll.BDP(A10&amp;" CUSIP","CRNCY")</f>
        <v>#NAME?</v>
      </c>
      <c r="I10" t="e">
        <f ca="1">_xll.BDP($A10&amp;" CUSIP","RTG_MOODY")</f>
        <v>#NAME?</v>
      </c>
      <c r="J10" t="e">
        <f ca="1">_xll.BDP($A10&amp;" CUSIP","RTG_SP")</f>
        <v>#NAME?</v>
      </c>
      <c r="K10" t="e">
        <f ca="1">_xll.BDP($A10&amp;" CUSIP","RTG_DBRS")</f>
        <v>#NAME?</v>
      </c>
      <c r="L10" t="e">
        <f ca="1">_xll.BDP($A10&amp;" CUSIP","MATURITY")</f>
        <v>#NAME?</v>
      </c>
      <c r="M10" t="e">
        <f t="shared" ca="1" si="1"/>
        <v>#NAME?</v>
      </c>
      <c r="N10" s="6" t="e">
        <f ca="1">_xll.BDP($A10&amp;" CUSIP","CPN")/100</f>
        <v>#NAME?</v>
      </c>
      <c r="O10" s="6" t="e">
        <f t="shared" ca="1" si="2"/>
        <v>#NAME?</v>
      </c>
      <c r="P10" t="s">
        <v>25</v>
      </c>
      <c r="Q10" s="7" t="e">
        <f ca="1">_xll.BDP(A10&amp;" CUSIP","YLD_YTM_MID")</f>
        <v>#NAME?</v>
      </c>
      <c r="R10" s="7" t="e">
        <f ca="1">_xll.BDP($A10&amp;" CUSIP","YAS_MOD_DUR")</f>
        <v>#NAME?</v>
      </c>
      <c r="S10" s="7" t="e">
        <f ca="1">_xll.BDP($A10&amp;" CUSIP","CNVX_MID")</f>
        <v>#NAME?</v>
      </c>
      <c r="U10" t="e">
        <f ca="1">_xll.BDP($A10&amp;" CUSIP","VOLATILITY_360D")</f>
        <v>#NAME?</v>
      </c>
      <c r="V10" t="e">
        <f ca="1">_xll.BDP($A10&amp;" CUSIP","YAS_YLD_SPREAD")</f>
        <v>#NAME?</v>
      </c>
      <c r="W10" t="e">
        <f ca="1">_xll.BDP($A10&amp;" CUSIP","BLP_SPREAD_BENCHMARK_NAME_RT")</f>
        <v>#NAME?</v>
      </c>
      <c r="X10">
        <v>100</v>
      </c>
    </row>
    <row r="11" spans="1:24">
      <c r="A11" s="9" t="s">
        <v>35</v>
      </c>
      <c r="B11" t="e">
        <f ca="1">_xll.BDP(A11&amp;" CUSIP", "TICKER")</f>
        <v>#NAME?</v>
      </c>
      <c r="C11" t="e">
        <f ca="1">_xll.BDP(A11&amp;" CUSIP", "ID_CUSIP_REAL")</f>
        <v>#NAME?</v>
      </c>
      <c r="D11" s="4">
        <v>17400000</v>
      </c>
      <c r="E11" t="e">
        <f ca="1">_xll.BDP(A11&amp;" CUSIP","LAST_PRICE")</f>
        <v>#NAME?</v>
      </c>
      <c r="F11" s="5" t="e">
        <f t="shared" ca="1" si="0"/>
        <v>#NAME?</v>
      </c>
      <c r="G11" t="e">
        <f ca="1">_xll.BDP(A11&amp;" CUSIP", "CPN_FREQ")</f>
        <v>#NAME?</v>
      </c>
      <c r="H11" t="e">
        <f ca="1">_xll.BDP(A11&amp;" CUSIP","CRNCY")</f>
        <v>#NAME?</v>
      </c>
      <c r="I11" t="e">
        <f ca="1">_xll.BDP($A11&amp;" CUSIP","RTG_MOODY")</f>
        <v>#NAME?</v>
      </c>
      <c r="J11" t="e">
        <f ca="1">_xll.BDP($A11&amp;" CUSIP","RTG_SP")</f>
        <v>#NAME?</v>
      </c>
      <c r="K11" t="e">
        <f ca="1">_xll.BDP($A11&amp;" CUSIP","RTG_DBRS")</f>
        <v>#NAME?</v>
      </c>
      <c r="L11" t="e">
        <f ca="1">_xll.BDP($A11&amp;" CUSIP","MATURITY")</f>
        <v>#NAME?</v>
      </c>
      <c r="M11" t="e">
        <f t="shared" ca="1" si="1"/>
        <v>#NAME?</v>
      </c>
      <c r="N11" s="6" t="e">
        <f ca="1">_xll.BDP($A11&amp;" CUSIP","CPN")/100</f>
        <v>#NAME?</v>
      </c>
      <c r="O11" s="6" t="e">
        <f t="shared" ca="1" si="2"/>
        <v>#NAME?</v>
      </c>
      <c r="P11" t="s">
        <v>25</v>
      </c>
      <c r="Q11" s="7" t="e">
        <f ca="1">_xll.BDP(A11&amp;" CUSIP","YLD_YTM_MID")</f>
        <v>#NAME?</v>
      </c>
      <c r="R11" s="7" t="e">
        <f ca="1">_xll.BDP($A11&amp;" CUSIP","YAS_MOD_DUR")</f>
        <v>#NAME?</v>
      </c>
      <c r="S11" s="7" t="e">
        <f ca="1">_xll.BDP($A11&amp;" CUSIP","CNVX_MID")</f>
        <v>#NAME?</v>
      </c>
      <c r="U11" t="e">
        <f ca="1">_xll.BDP($A11&amp;" CUSIP","VOLATILITY_360D")</f>
        <v>#NAME?</v>
      </c>
      <c r="V11" t="e">
        <f ca="1">_xll.BDP($A11&amp;" CUSIP","YAS_YLD_SPREAD")</f>
        <v>#NAME?</v>
      </c>
      <c r="W11" t="e">
        <f ca="1">_xll.BDP($A11&amp;" CUSIP","BLP_SPREAD_BENCHMARK_NAME_RT")</f>
        <v>#NAME?</v>
      </c>
      <c r="X11">
        <v>100</v>
      </c>
    </row>
    <row r="12" spans="1:24">
      <c r="A12" s="8" t="s">
        <v>36</v>
      </c>
      <c r="B12" t="e">
        <f ca="1">_xll.BDP(A12&amp;" CUSIP", "TICKER")</f>
        <v>#NAME?</v>
      </c>
      <c r="C12" t="e">
        <f ca="1">_xll.BDP(A12&amp;" CUSIP", "ID_CUSIP_REAL")</f>
        <v>#NAME?</v>
      </c>
      <c r="D12" s="4">
        <v>-25400000</v>
      </c>
      <c r="E12" t="e">
        <f ca="1">_xll.BDP(A12&amp;" CUSIP","LAST_PRICE")</f>
        <v>#NAME?</v>
      </c>
      <c r="F12" s="5" t="e">
        <f t="shared" ca="1" si="0"/>
        <v>#NAME?</v>
      </c>
      <c r="G12" t="e">
        <f ca="1">_xll.BDP(A12&amp;" CUSIP", "CPN_FREQ")</f>
        <v>#NAME?</v>
      </c>
      <c r="H12" t="e">
        <f ca="1">_xll.BDP(A12&amp;" CUSIP","CRNCY")</f>
        <v>#NAME?</v>
      </c>
      <c r="I12" t="e">
        <f ca="1">_xll.BDP($A12&amp;" CUSIP","RTG_MOODY")</f>
        <v>#NAME?</v>
      </c>
      <c r="J12" t="e">
        <f ca="1">_xll.BDP($A12&amp;" CUSIP","RTG_SP")</f>
        <v>#NAME?</v>
      </c>
      <c r="K12" t="e">
        <f ca="1">_xll.BDP($A12&amp;" CUSIP","RTG_DBRS")</f>
        <v>#NAME?</v>
      </c>
      <c r="L12" t="e">
        <f ca="1">_xll.BDP($A12&amp;" CUSIP","MATURITY")</f>
        <v>#NAME?</v>
      </c>
      <c r="M12" t="e">
        <f t="shared" ca="1" si="1"/>
        <v>#NAME?</v>
      </c>
      <c r="N12" s="6" t="e">
        <f ca="1">_xll.BDP($A12&amp;" CUSIP","CPN")/100</f>
        <v>#NAME?</v>
      </c>
      <c r="O12" s="6" t="e">
        <f t="shared" ca="1" si="2"/>
        <v>#NAME?</v>
      </c>
      <c r="P12" t="s">
        <v>25</v>
      </c>
      <c r="Q12" s="7" t="e">
        <f ca="1">_xll.BDP(A12&amp;" CUSIP","YLD_YTM_MID")</f>
        <v>#NAME?</v>
      </c>
      <c r="R12" s="7" t="e">
        <f ca="1">_xll.BDP($A12&amp;" CUSIP","YAS_MOD_DUR")</f>
        <v>#NAME?</v>
      </c>
      <c r="S12" s="7" t="e">
        <f ca="1">_xll.BDP($A12&amp;" CUSIP","CNVX_MID")</f>
        <v>#NAME?</v>
      </c>
      <c r="U12" t="e">
        <f ca="1">_xll.BDP($A12&amp;" CUSIP","VOLATILITY_360D")</f>
        <v>#NAME?</v>
      </c>
      <c r="V12" t="e">
        <f ca="1">_xll.BDP($A12&amp;" CUSIP","YAS_YLD_SPREAD")</f>
        <v>#NAME?</v>
      </c>
      <c r="W12" t="e">
        <f ca="1">_xll.BDP($A12&amp;" CUSIP","BLP_SPREAD_BENCHMARK_NAME_RT")</f>
        <v>#NAME?</v>
      </c>
      <c r="X12">
        <v>100</v>
      </c>
    </row>
    <row r="13" spans="1:24">
      <c r="A13" s="8" t="s">
        <v>37</v>
      </c>
      <c r="B13" t="e">
        <f ca="1">_xll.BDP(A13&amp;" CUSIP", "TICKER")</f>
        <v>#NAME?</v>
      </c>
      <c r="C13" t="e">
        <f ca="1">_xll.BDP(A13&amp;" CUSIP", "ID_CUSIP_REAL")</f>
        <v>#NAME?</v>
      </c>
      <c r="D13" s="4">
        <v>17300000</v>
      </c>
      <c r="E13" t="e">
        <f ca="1">_xll.BDP(A13&amp;" CUSIP","LAST_PRICE")</f>
        <v>#NAME?</v>
      </c>
      <c r="F13" s="5" t="e">
        <f t="shared" ca="1" si="0"/>
        <v>#NAME?</v>
      </c>
      <c r="G13" t="e">
        <f ca="1">_xll.BDP(A13&amp;" CUSIP", "CPN_FREQ")</f>
        <v>#NAME?</v>
      </c>
      <c r="H13" t="e">
        <f ca="1">_xll.BDP(A13&amp;" CUSIP","CRNCY")</f>
        <v>#NAME?</v>
      </c>
      <c r="I13" t="e">
        <f ca="1">_xll.BDP($A13&amp;" CUSIP","RTG_MOODY")</f>
        <v>#NAME?</v>
      </c>
      <c r="J13" t="e">
        <f ca="1">_xll.BDP($A13&amp;" CUSIP","RTG_SP")</f>
        <v>#NAME?</v>
      </c>
      <c r="K13" t="e">
        <f ca="1">_xll.BDP($A13&amp;" CUSIP","RTG_DBRS")</f>
        <v>#NAME?</v>
      </c>
      <c r="L13" t="e">
        <f ca="1">_xll.BDP($A13&amp;" CUSIP","MATURITY")</f>
        <v>#NAME?</v>
      </c>
      <c r="M13" t="e">
        <f t="shared" ca="1" si="1"/>
        <v>#NAME?</v>
      </c>
      <c r="N13" s="6" t="e">
        <f ca="1">_xll.BDP($A13&amp;" CUSIP","CPN")/100</f>
        <v>#NAME?</v>
      </c>
      <c r="O13" s="6" t="e">
        <f t="shared" ca="1" si="2"/>
        <v>#NAME?</v>
      </c>
      <c r="P13" t="s">
        <v>25</v>
      </c>
      <c r="Q13" s="7" t="e">
        <f ca="1">_xll.BDP(A13&amp;" CUSIP","YLD_YTM_MID")</f>
        <v>#NAME?</v>
      </c>
      <c r="R13" s="7" t="e">
        <f ca="1">_xll.BDP($A13&amp;" CUSIP","YAS_MOD_DUR")</f>
        <v>#NAME?</v>
      </c>
      <c r="S13" s="7" t="e">
        <f ca="1">_xll.BDP($A13&amp;" CUSIP","CNVX_MID")</f>
        <v>#NAME?</v>
      </c>
      <c r="U13" t="e">
        <f ca="1">_xll.BDP($A13&amp;" CUSIP","VOLATILITY_360D")</f>
        <v>#NAME?</v>
      </c>
      <c r="V13" t="e">
        <f ca="1">_xll.BDP($A13&amp;" CUSIP","YAS_YLD_SPREAD")</f>
        <v>#NAME?</v>
      </c>
      <c r="W13" t="s">
        <v>38</v>
      </c>
      <c r="X13">
        <v>100</v>
      </c>
    </row>
    <row r="14" spans="1:24">
      <c r="A14" s="8" t="s">
        <v>39</v>
      </c>
      <c r="B14" t="e">
        <f ca="1">_xll.BDP(A14&amp;" CUSIP", "TICKER")</f>
        <v>#NAME?</v>
      </c>
      <c r="C14" t="e">
        <f ca="1">_xll.BDP(A14&amp;" CUSIP", "ID_CUSIP_REAL")</f>
        <v>#NAME?</v>
      </c>
      <c r="D14" s="4">
        <v>-25900000</v>
      </c>
      <c r="E14" t="e">
        <f ca="1">_xll.BDP(A14&amp;" CUSIP","LAST_PRICE")</f>
        <v>#NAME?</v>
      </c>
      <c r="F14" s="5" t="e">
        <f t="shared" ca="1" si="0"/>
        <v>#NAME?</v>
      </c>
      <c r="G14" t="e">
        <f ca="1">_xll.BDP(A14&amp;" CUSIP", "CPN_FREQ")</f>
        <v>#NAME?</v>
      </c>
      <c r="H14" t="e">
        <f ca="1">_xll.BDP(A14&amp;" CUSIP","CRNCY")</f>
        <v>#NAME?</v>
      </c>
      <c r="I14" t="e">
        <f ca="1">_xll.BDP($A14&amp;" CUSIP","RTG_MOODY")</f>
        <v>#NAME?</v>
      </c>
      <c r="J14" t="e">
        <f ca="1">_xll.BDP($A14&amp;" CUSIP","RTG_SP")</f>
        <v>#NAME?</v>
      </c>
      <c r="K14" t="e">
        <f ca="1">_xll.BDP($A14&amp;" CUSIP","RTG_DBRS")</f>
        <v>#NAME?</v>
      </c>
      <c r="L14" t="e">
        <f ca="1">_xll.BDP($A14&amp;" CUSIP","MATURITY")</f>
        <v>#NAME?</v>
      </c>
      <c r="M14" t="e">
        <f t="shared" ca="1" si="1"/>
        <v>#NAME?</v>
      </c>
      <c r="N14" s="6" t="e">
        <f ca="1">_xll.BDP($A14&amp;" CUSIP","CPN")/100</f>
        <v>#NAME?</v>
      </c>
      <c r="O14" s="6" t="e">
        <f t="shared" ca="1" si="2"/>
        <v>#NAME?</v>
      </c>
      <c r="P14" t="s">
        <v>25</v>
      </c>
      <c r="Q14" s="7" t="e">
        <f ca="1">_xll.BDP(A14&amp;" CUSIP","YLD_YTM_MID")</f>
        <v>#NAME?</v>
      </c>
      <c r="R14" s="7" t="e">
        <f ca="1">_xll.BDP($A14&amp;" CUSIP","YAS_MOD_DUR")</f>
        <v>#NAME?</v>
      </c>
      <c r="S14" s="7" t="e">
        <f ca="1">_xll.BDP($A14&amp;" CUSIP","CNVX_MID")</f>
        <v>#NAME?</v>
      </c>
      <c r="U14" t="e">
        <f ca="1">_xll.BDP($A14&amp;" CUSIP","VOLATILITY_360D")</f>
        <v>#NAME?</v>
      </c>
      <c r="V14" t="e">
        <f ca="1">_xll.BDP($A14&amp;" CUSIP","YAS_YLD_SPREAD")</f>
        <v>#NAME?</v>
      </c>
      <c r="W14" t="e">
        <f ca="1">_xll.BDP($A14&amp;" CUSIP","BLP_SPREAD_BENCHMARK_NAME_RT")</f>
        <v>#NAME?</v>
      </c>
      <c r="X14">
        <v>100</v>
      </c>
    </row>
    <row r="15" spans="1:24">
      <c r="A15" s="8" t="s">
        <v>40</v>
      </c>
      <c r="B15" t="e">
        <f ca="1">_xll.BDP(A15&amp;" CUSIP", "TICKER")</f>
        <v>#NAME?</v>
      </c>
      <c r="C15" t="e">
        <f ca="1">_xll.BDP(A15&amp;" CUSIP", "ID_CUSIP_REAL")</f>
        <v>#NAME?</v>
      </c>
      <c r="D15" s="4">
        <v>20100000</v>
      </c>
      <c r="E15" t="e">
        <f ca="1">_xll.BDP(A15&amp;" CUSIP","LAST_PRICE")</f>
        <v>#NAME?</v>
      </c>
      <c r="F15" s="5" t="e">
        <f t="shared" ca="1" si="0"/>
        <v>#NAME?</v>
      </c>
      <c r="G15" t="e">
        <f ca="1">_xll.BDP(A15&amp;" CUSIP", "CPN_FREQ")</f>
        <v>#NAME?</v>
      </c>
      <c r="H15" t="e">
        <f ca="1">_xll.BDP(A15&amp;" CUSIP","CRNCY")</f>
        <v>#NAME?</v>
      </c>
      <c r="I15" t="e">
        <f ca="1">_xll.BDP($A15&amp;" CUSIP","RTG_MOODY")</f>
        <v>#NAME?</v>
      </c>
      <c r="J15" t="e">
        <f ca="1">_xll.BDP($A15&amp;" CUSIP","RTG_SP")</f>
        <v>#NAME?</v>
      </c>
      <c r="K15" t="e">
        <f ca="1">_xll.BDP($A15&amp;" CUSIP","RTG_DBRS")</f>
        <v>#NAME?</v>
      </c>
      <c r="L15" t="e">
        <f ca="1">_xll.BDP($A15&amp;" CUSIP","MATURITY")</f>
        <v>#NAME?</v>
      </c>
      <c r="M15" t="e">
        <f t="shared" ca="1" si="1"/>
        <v>#NAME?</v>
      </c>
      <c r="N15" s="6" t="e">
        <f ca="1">_xll.BDP($A15&amp;" CUSIP","CPN")/100</f>
        <v>#NAME?</v>
      </c>
      <c r="O15" s="6" t="e">
        <f t="shared" ca="1" si="2"/>
        <v>#NAME?</v>
      </c>
      <c r="P15" t="s">
        <v>25</v>
      </c>
      <c r="Q15" s="7" t="e">
        <f ca="1">_xll.BDP(A15&amp;" CUSIP","YLD_YTM_MID")</f>
        <v>#NAME?</v>
      </c>
      <c r="R15" s="7" t="e">
        <f ca="1">_xll.BDP($A15&amp;" CUSIP","YAS_MOD_DUR")</f>
        <v>#NAME?</v>
      </c>
      <c r="S15" s="7" t="e">
        <f ca="1">_xll.BDP($A15&amp;" CUSIP","CNVX_MID")</f>
        <v>#NAME?</v>
      </c>
      <c r="U15" t="e">
        <f ca="1">_xll.BDP($A15&amp;" CUSIP","VOLATILITY_360D")</f>
        <v>#NAME?</v>
      </c>
      <c r="V15" t="e">
        <f ca="1">_xll.BDP($A15&amp;" CUSIP","YAS_YLD_SPREAD")</f>
        <v>#NAME?</v>
      </c>
      <c r="W15" t="e">
        <f ca="1">_xll.BDP($A15&amp;" CUSIP","BLP_SPREAD_BENCHMARK_NAME_RT")</f>
        <v>#NAME?</v>
      </c>
      <c r="X15">
        <v>100</v>
      </c>
    </row>
    <row r="16" spans="1:24">
      <c r="A16" s="8" t="s">
        <v>41</v>
      </c>
      <c r="B16" t="e">
        <f ca="1">_xll.BDP(A16&amp;" CUSIP", "TICKER")</f>
        <v>#NAME?</v>
      </c>
      <c r="C16" t="e">
        <f ca="1">_xll.BDP(A16&amp;" CUSIP", "ID_CUSIP_REAL")</f>
        <v>#NAME?</v>
      </c>
      <c r="D16" s="10">
        <v>27200000</v>
      </c>
      <c r="E16" t="e">
        <f ca="1">_xll.BDP(A16&amp;" CUSIP","LAST_PRICE")</f>
        <v>#NAME?</v>
      </c>
      <c r="F16" s="5" t="e">
        <f t="shared" ca="1" si="0"/>
        <v>#NAME?</v>
      </c>
      <c r="G16" t="e">
        <f ca="1">_xll.BDP(A16&amp;" CUSIP", "CPN_FREQ")</f>
        <v>#NAME?</v>
      </c>
      <c r="H16" t="e">
        <f ca="1">_xll.BDP(A16&amp;" CUSIP","CRNCY")</f>
        <v>#NAME?</v>
      </c>
      <c r="I16" t="e">
        <f ca="1">_xll.BDP($A16&amp;" CUSIP","RTG_MOODY")</f>
        <v>#NAME?</v>
      </c>
      <c r="J16" t="e">
        <f ca="1">_xll.BDP($A16&amp;" CUSIP","RTG_SP")</f>
        <v>#NAME?</v>
      </c>
      <c r="K16" t="e">
        <f ca="1">_xll.BDP($A16&amp;" CUSIP","RTG_DBRS")</f>
        <v>#NAME?</v>
      </c>
      <c r="L16" t="e">
        <f ca="1">_xll.BDP($A16&amp;" CUSIP","MATURITY")</f>
        <v>#NAME?</v>
      </c>
      <c r="M16" t="e">
        <f t="shared" ca="1" si="1"/>
        <v>#NAME?</v>
      </c>
      <c r="N16" s="6" t="e">
        <f ca="1">_xll.BDP($A16&amp;" CUSIP","CPN")/100</f>
        <v>#NAME?</v>
      </c>
      <c r="O16" s="6" t="e">
        <f t="shared" ca="1" si="2"/>
        <v>#NAME?</v>
      </c>
      <c r="P16" t="s">
        <v>25</v>
      </c>
      <c r="Q16" s="7" t="e">
        <f ca="1">_xll.BDP(A16&amp;" CUSIP","YLD_YTM_MID")</f>
        <v>#NAME?</v>
      </c>
      <c r="R16" s="7" t="e">
        <f ca="1">_xll.BDP($A16&amp;" CUSIP","YAS_MOD_DUR")</f>
        <v>#NAME?</v>
      </c>
      <c r="S16" s="7" t="e">
        <f ca="1">_xll.BDP($A16&amp;" CUSIP","CNVX_MID")</f>
        <v>#NAME?</v>
      </c>
      <c r="U16" t="e">
        <f ca="1">_xll.BDP($A16&amp;" CUSIP","VOLATILITY_360D")</f>
        <v>#NAME?</v>
      </c>
      <c r="V16" t="e">
        <f ca="1">_xll.BDP($A16&amp;" CUSIP","YAS_YLD_SPREAD")</f>
        <v>#NAME?</v>
      </c>
      <c r="W16" t="s">
        <v>42</v>
      </c>
      <c r="X16">
        <v>100</v>
      </c>
    </row>
    <row r="17" spans="1:24">
      <c r="A17" s="8" t="s">
        <v>43</v>
      </c>
      <c r="B17" t="e">
        <f ca="1">_xll.BDP(A17&amp;" CUSIP", "TICKER")</f>
        <v>#NAME?</v>
      </c>
      <c r="C17" t="e">
        <f ca="1">_xll.BDP(A17&amp;" CUSIP", "ID_CUSIP_REAL")</f>
        <v>#NAME?</v>
      </c>
      <c r="D17" s="4">
        <v>-26200000</v>
      </c>
      <c r="E17" t="e">
        <f ca="1">_xll.BDP(A17&amp;" CUSIP","LAST_PRICE")</f>
        <v>#NAME?</v>
      </c>
      <c r="F17" s="5" t="e">
        <f t="shared" ca="1" si="0"/>
        <v>#NAME?</v>
      </c>
      <c r="G17" t="e">
        <f ca="1">_xll.BDP(A17&amp;" CUSIP", "CPN_FREQ")</f>
        <v>#NAME?</v>
      </c>
      <c r="H17" t="e">
        <f ca="1">_xll.BDP(A17&amp;" CUSIP","CRNCY")</f>
        <v>#NAME?</v>
      </c>
      <c r="I17" t="e">
        <f ca="1">_xll.BDP($A17&amp;" CUSIP","RTG_MOODY")</f>
        <v>#NAME?</v>
      </c>
      <c r="J17" t="e">
        <f ca="1">_xll.BDP($A17&amp;" CUSIP","RTG_SP")</f>
        <v>#NAME?</v>
      </c>
      <c r="K17" t="e">
        <f ca="1">_xll.BDP($A17&amp;" CUSIP","RTG_DBRS")</f>
        <v>#NAME?</v>
      </c>
      <c r="L17" t="e">
        <f ca="1">_xll.BDP($A17&amp;" CUSIP","MATURITY")</f>
        <v>#NAME?</v>
      </c>
      <c r="M17" t="e">
        <f t="shared" ca="1" si="1"/>
        <v>#NAME?</v>
      </c>
      <c r="N17" s="6" t="e">
        <f ca="1">_xll.BDP($A17&amp;" CUSIP","CPN")/100</f>
        <v>#NAME?</v>
      </c>
      <c r="O17" s="6" t="e">
        <f t="shared" ca="1" si="2"/>
        <v>#NAME?</v>
      </c>
      <c r="P17" t="s">
        <v>25</v>
      </c>
      <c r="Q17" s="7" t="e">
        <f ca="1">_xll.BDP(A17&amp;" CUSIP","YLD_YTM_MID")</f>
        <v>#NAME?</v>
      </c>
      <c r="R17" s="7" t="e">
        <f ca="1">_xll.BDP($A17&amp;" CUSIP","YAS_MOD_DUR")</f>
        <v>#NAME?</v>
      </c>
      <c r="S17" s="7" t="e">
        <f ca="1">_xll.BDP($A17&amp;" CUSIP","CNVX_MID")</f>
        <v>#NAME?</v>
      </c>
      <c r="U17" t="e">
        <f ca="1">_xll.BDP($A17&amp;" CUSIP","VOLATILITY_360D")</f>
        <v>#NAME?</v>
      </c>
      <c r="V17" t="e">
        <f ca="1">_xll.BDP($A17&amp;" CUSIP","YAS_YLD_SPREAD")</f>
        <v>#NAME?</v>
      </c>
      <c r="W17" t="e">
        <f ca="1">_xll.BDP($A17&amp;" CUSIP","BLP_SPREAD_BENCHMARK_NAME_RT")</f>
        <v>#NAME?</v>
      </c>
      <c r="X17">
        <v>100</v>
      </c>
    </row>
    <row r="18" spans="1:24">
      <c r="A18" s="8" t="s">
        <v>44</v>
      </c>
      <c r="B18" t="e">
        <f ca="1">_xll.BDP(A18&amp;" CUSIP", "TICKER")</f>
        <v>#NAME?</v>
      </c>
      <c r="C18" t="e">
        <f ca="1">_xll.BDP(A18&amp;" CUSIP", "ID_CUSIP_REAL")</f>
        <v>#NAME?</v>
      </c>
      <c r="D18" s="4">
        <v>7200000</v>
      </c>
      <c r="E18" t="e">
        <f ca="1">_xll.BDP(A18&amp;" CUSIP","LAST_PRICE")</f>
        <v>#NAME?</v>
      </c>
      <c r="F18" s="5" t="e">
        <f t="shared" ca="1" si="0"/>
        <v>#NAME?</v>
      </c>
      <c r="G18" t="e">
        <f ca="1">_xll.BDP(A18&amp;" CUSIP", "CPN_FREQ")</f>
        <v>#NAME?</v>
      </c>
      <c r="H18" t="e">
        <f ca="1">_xll.BDP(A18&amp;" CUSIP","CRNCY")</f>
        <v>#NAME?</v>
      </c>
      <c r="I18" t="e">
        <f ca="1">_xll.BDP($A18&amp;" CUSIP","RTG_MOODY")</f>
        <v>#NAME?</v>
      </c>
      <c r="J18" t="e">
        <f ca="1">_xll.BDP($A18&amp;" CUSIP","RTG_SP")</f>
        <v>#NAME?</v>
      </c>
      <c r="K18" t="e">
        <f ca="1">_xll.BDP($A18&amp;" CUSIP","RTG_DBRS")</f>
        <v>#NAME?</v>
      </c>
      <c r="L18" t="e">
        <f ca="1">_xll.BDP($A18&amp;" CUSIP","MATURITY")</f>
        <v>#NAME?</v>
      </c>
      <c r="M18" t="e">
        <f t="shared" ca="1" si="1"/>
        <v>#NAME?</v>
      </c>
      <c r="N18" s="6" t="e">
        <f ca="1">_xll.BDP($A18&amp;" CUSIP","CPN")/100</f>
        <v>#NAME?</v>
      </c>
      <c r="O18" s="6" t="e">
        <f t="shared" ca="1" si="2"/>
        <v>#NAME?</v>
      </c>
      <c r="P18" t="s">
        <v>25</v>
      </c>
      <c r="Q18" s="7" t="e">
        <f ca="1">_xll.BDP(A18&amp;" CUSIP","YLD_YTM_MID")</f>
        <v>#NAME?</v>
      </c>
      <c r="R18" s="7" t="e">
        <f ca="1">_xll.BDP($A18&amp;" CUSIP","YAS_MOD_DUR")</f>
        <v>#NAME?</v>
      </c>
      <c r="S18" s="7" t="e">
        <f ca="1">_xll.BDP($A18&amp;" CUSIP","CNVX_MID")</f>
        <v>#NAME?</v>
      </c>
      <c r="U18" t="e">
        <f ca="1">_xll.BDP($A18&amp;" CUSIP","VOLATILITY_360D")</f>
        <v>#NAME?</v>
      </c>
      <c r="V18" t="e">
        <f ca="1">_xll.BDP($A18&amp;" CUSIP","YAS_YLD_SPREAD")</f>
        <v>#NAME?</v>
      </c>
      <c r="W18" t="e">
        <f ca="1">_xll.BDP($A18&amp;" CUSIP","BLP_SPREAD_BENCHMARK_NAME_RT")</f>
        <v>#NAME?</v>
      </c>
      <c r="X18">
        <v>164.11970795510354</v>
      </c>
    </row>
    <row r="19" spans="1:24">
      <c r="A19" s="8" t="s">
        <v>45</v>
      </c>
      <c r="B19" t="e">
        <f ca="1">_xll.BDP(A19&amp;" CUSIP", "TICKER")</f>
        <v>#NAME?</v>
      </c>
      <c r="C19" t="e">
        <f ca="1">_xll.BDP(A19&amp;" CUSIP", "ID_CUSIP_REAL")</f>
        <v>#NAME?</v>
      </c>
      <c r="D19" s="4">
        <v>17000000</v>
      </c>
      <c r="E19" t="e">
        <f ca="1">_xll.BDP(A19&amp;" CUSIP","LAST_PRICE")</f>
        <v>#NAME?</v>
      </c>
      <c r="F19" s="5" t="e">
        <f t="shared" ca="1" si="0"/>
        <v>#NAME?</v>
      </c>
      <c r="G19" t="e">
        <f ca="1">_xll.BDP(A19&amp;" CUSIP", "CPN_FREQ")</f>
        <v>#NAME?</v>
      </c>
      <c r="H19" t="e">
        <f ca="1">_xll.BDP(A19&amp;" CUSIP","CRNCY")</f>
        <v>#NAME?</v>
      </c>
      <c r="I19" t="e">
        <f ca="1">_xll.BDP($A19&amp;" CUSIP","RTG_MOODY")</f>
        <v>#NAME?</v>
      </c>
      <c r="J19" t="e">
        <f ca="1">_xll.BDP($A19&amp;" CUSIP","RTG_SP")</f>
        <v>#NAME?</v>
      </c>
      <c r="K19" t="e">
        <f ca="1">_xll.BDP($A19&amp;" CUSIP","RTG_DBRS")</f>
        <v>#NAME?</v>
      </c>
      <c r="L19" t="e">
        <f ca="1">_xll.BDP($A19&amp;" CUSIP","MATURITY")</f>
        <v>#NAME?</v>
      </c>
      <c r="M19" t="e">
        <f t="shared" ca="1" si="1"/>
        <v>#NAME?</v>
      </c>
      <c r="N19" s="6" t="e">
        <f ca="1">_xll.BDP($A19&amp;" CUSIP","CPN")/100</f>
        <v>#NAME?</v>
      </c>
      <c r="O19" s="6" t="e">
        <f t="shared" ca="1" si="2"/>
        <v>#NAME?</v>
      </c>
      <c r="P19" t="s">
        <v>25</v>
      </c>
      <c r="Q19" s="7" t="e">
        <f ca="1">_xll.BDP(A19&amp;" CUSIP","YLD_YTM_MID")</f>
        <v>#NAME?</v>
      </c>
      <c r="R19" s="7" t="e">
        <f ca="1">_xll.BDP($A19&amp;" CUSIP","YAS_MOD_DUR")</f>
        <v>#NAME?</v>
      </c>
      <c r="S19" s="7" t="e">
        <f ca="1">_xll.BDP($A19&amp;" CUSIP","CNVX_MID")</f>
        <v>#NAME?</v>
      </c>
      <c r="U19" t="e">
        <f ca="1">_xll.BDP($A19&amp;" CUSIP","VOLATILITY_360D")</f>
        <v>#NAME?</v>
      </c>
      <c r="V19" t="e">
        <f ca="1">_xll.BDP($A19&amp;" CUSIP","YAS_YLD_SPREAD")</f>
        <v>#NAME?</v>
      </c>
      <c r="W19" t="e">
        <f ca="1">_xll.BDP($A19&amp;" CUSIP","BLP_SPREAD_BENCHMARK_NAME_RT")</f>
        <v>#NAME?</v>
      </c>
      <c r="X19">
        <v>100</v>
      </c>
    </row>
    <row r="20" spans="1:24">
      <c r="A20" s="8" t="s">
        <v>46</v>
      </c>
      <c r="B20" t="e">
        <f ca="1">_xll.BDP(A20&amp;" CUSIP", "TICKER")</f>
        <v>#NAME?</v>
      </c>
      <c r="C20" t="e">
        <f ca="1">_xll.BDP(A20&amp;" CUSIP", "ID_CUSIP_REAL")</f>
        <v>#NAME?</v>
      </c>
      <c r="D20" s="4">
        <v>24900000</v>
      </c>
      <c r="E20" t="e">
        <f ca="1">_xll.BDP(A20&amp;" CUSIP","LAST_PRICE")</f>
        <v>#NAME?</v>
      </c>
      <c r="F20" s="5" t="e">
        <f t="shared" ca="1" si="0"/>
        <v>#NAME?</v>
      </c>
      <c r="G20" t="e">
        <f ca="1">_xll.BDP(A20&amp;" CUSIP", "CPN_FREQ")</f>
        <v>#NAME?</v>
      </c>
      <c r="H20" t="e">
        <f ca="1">_xll.BDP(A20&amp;" CUSIP","CRNCY")</f>
        <v>#NAME?</v>
      </c>
      <c r="I20" t="e">
        <f ca="1">_xll.BDP($A20&amp;" CUSIP","RTG_MOODY")</f>
        <v>#NAME?</v>
      </c>
      <c r="J20" t="e">
        <f ca="1">_xll.BDP($A20&amp;" CUSIP","RTG_SP")</f>
        <v>#NAME?</v>
      </c>
      <c r="K20" t="e">
        <f ca="1">_xll.BDP($A20&amp;" CUSIP","RTG_DBRS")</f>
        <v>#NAME?</v>
      </c>
      <c r="L20" t="e">
        <f ca="1">_xll.BDP($A20&amp;" CUSIP","MATURITY")</f>
        <v>#NAME?</v>
      </c>
      <c r="M20" t="e">
        <f t="shared" ca="1" si="1"/>
        <v>#NAME?</v>
      </c>
      <c r="N20" s="6" t="e">
        <f ca="1">_xll.BDP($A20&amp;" CUSIP","CPN")/100</f>
        <v>#NAME?</v>
      </c>
      <c r="O20" s="6" t="e">
        <f t="shared" ca="1" si="2"/>
        <v>#NAME?</v>
      </c>
      <c r="P20" t="s">
        <v>25</v>
      </c>
      <c r="Q20" s="7" t="e">
        <f ca="1">_xll.BDP(A20&amp;" CUSIP","YLD_YTM_MID")</f>
        <v>#NAME?</v>
      </c>
      <c r="R20" s="7" t="e">
        <f ca="1">_xll.BDP($A20&amp;" CUSIP","YAS_MOD_DUR")</f>
        <v>#NAME?</v>
      </c>
      <c r="S20" s="7" t="e">
        <f ca="1">_xll.BDP($A20&amp;" CUSIP","CNVX_MID")</f>
        <v>#NAME?</v>
      </c>
      <c r="U20" t="e">
        <f ca="1">_xll.BDP($A20&amp;" CUSIP","VOLATILITY_360D")</f>
        <v>#NAME?</v>
      </c>
      <c r="V20" t="e">
        <f ca="1">_xll.BDP($A20&amp;" CUSIP","YAS_YLD_SPREAD")</f>
        <v>#NAME?</v>
      </c>
      <c r="W20" t="s">
        <v>47</v>
      </c>
      <c r="X20">
        <v>100</v>
      </c>
    </row>
    <row r="21" spans="1:24">
      <c r="A21" s="8" t="s">
        <v>48</v>
      </c>
      <c r="B21" t="e">
        <f ca="1">_xll.BDP(A21&amp;" CUSIP", "TICKER")</f>
        <v>#NAME?</v>
      </c>
      <c r="C21" t="e">
        <f ca="1">_xll.BDP(A21&amp;" CUSIP", "ID_CUSIP_REAL")</f>
        <v>#NAME?</v>
      </c>
      <c r="D21" s="4">
        <v>4500000</v>
      </c>
      <c r="E21" t="e">
        <f ca="1">_xll.BDP(A21&amp;" CUSIP","LAST_PRICE")</f>
        <v>#NAME?</v>
      </c>
      <c r="F21" s="5" t="e">
        <f t="shared" ca="1" si="0"/>
        <v>#NAME?</v>
      </c>
      <c r="G21" t="e">
        <f ca="1">_xll.BDP(A21&amp;" CUSIP", "CPN_FREQ")</f>
        <v>#NAME?</v>
      </c>
      <c r="H21" t="e">
        <f ca="1">_xll.BDP(A21&amp;" CUSIP","CRNCY")</f>
        <v>#NAME?</v>
      </c>
      <c r="I21" t="e">
        <f ca="1">_xll.BDP($A21&amp;" CUSIP","RTG_MOODY")</f>
        <v>#NAME?</v>
      </c>
      <c r="J21" t="e">
        <f ca="1">_xll.BDP($A21&amp;" CUSIP","RTG_SP")</f>
        <v>#NAME?</v>
      </c>
      <c r="K21" t="e">
        <f ca="1">_xll.BDP($A21&amp;" CUSIP","RTG_DBRS")</f>
        <v>#NAME?</v>
      </c>
      <c r="L21" t="e">
        <f ca="1">_xll.BDP($A21&amp;" CUSIP","MATURITY")</f>
        <v>#NAME?</v>
      </c>
      <c r="M21" t="e">
        <f t="shared" ca="1" si="1"/>
        <v>#NAME?</v>
      </c>
      <c r="N21" s="6" t="e">
        <f ca="1">_xll.BDP($A21&amp;" CUSIP","CPN")/100</f>
        <v>#NAME?</v>
      </c>
      <c r="O21" s="6" t="e">
        <f t="shared" ca="1" si="2"/>
        <v>#NAME?</v>
      </c>
      <c r="P21" t="s">
        <v>25</v>
      </c>
      <c r="Q21" s="7" t="e">
        <f ca="1">_xll.BDP(A21&amp;" CUSIP","YLD_YTM_MID")</f>
        <v>#NAME?</v>
      </c>
      <c r="R21" s="7" t="e">
        <f ca="1">_xll.BDP($A21&amp;" CUSIP","YAS_MOD_DUR")</f>
        <v>#NAME?</v>
      </c>
      <c r="S21" s="7" t="e">
        <f ca="1">_xll.BDP($A21&amp;" CUSIP","CNVX_MID")</f>
        <v>#NAME?</v>
      </c>
      <c r="U21" t="e">
        <f ca="1">_xll.BDP($A21&amp;" CUSIP","VOLATILITY_360D")</f>
        <v>#NAME?</v>
      </c>
      <c r="V21" t="e">
        <f ca="1">_xll.BDP($A21&amp;" CUSIP","YAS_YLD_SPREAD")</f>
        <v>#NAME?</v>
      </c>
      <c r="X21">
        <v>100</v>
      </c>
    </row>
    <row r="22" spans="1:24">
      <c r="A22" s="8" t="s">
        <v>49</v>
      </c>
      <c r="B22" t="e">
        <f ca="1">_xll.BDP(A22&amp;" CUSIP", "TICKER")</f>
        <v>#NAME?</v>
      </c>
      <c r="C22" t="e">
        <f ca="1">_xll.BDP(A22&amp;" CUSIP", "ID_CUSIP_REAL")</f>
        <v>#NAME?</v>
      </c>
      <c r="D22" s="4">
        <v>18300000</v>
      </c>
      <c r="E22" t="e">
        <f ca="1">_xll.BDP(A22&amp;" CUSIP","LAST_PRICE")</f>
        <v>#NAME?</v>
      </c>
      <c r="F22" s="5" t="e">
        <f t="shared" ca="1" si="0"/>
        <v>#NAME?</v>
      </c>
      <c r="G22" t="e">
        <f ca="1">_xll.BDP(A22&amp;" CUSIP", "CPN_FREQ")</f>
        <v>#NAME?</v>
      </c>
      <c r="H22" t="e">
        <f ca="1">_xll.BDP(A22&amp;" CUSIP","CRNCY")</f>
        <v>#NAME?</v>
      </c>
      <c r="I22" t="e">
        <f ca="1">_xll.BDP($A22&amp;" CUSIP","RTG_MOODY")</f>
        <v>#NAME?</v>
      </c>
      <c r="J22" t="e">
        <f ca="1">_xll.BDP($A22&amp;" CUSIP","RTG_SP")</f>
        <v>#NAME?</v>
      </c>
      <c r="K22" t="e">
        <f ca="1">_xll.BDP($A22&amp;" CUSIP","RTG_DBRS")</f>
        <v>#NAME?</v>
      </c>
      <c r="L22" t="e">
        <f ca="1">_xll.BDP($A22&amp;" CUSIP","MATURITY")</f>
        <v>#NAME?</v>
      </c>
      <c r="M22" t="e">
        <f t="shared" ca="1" si="1"/>
        <v>#NAME?</v>
      </c>
      <c r="N22" s="6" t="e">
        <f ca="1">_xll.BDP($A22&amp;" CUSIP","CPN")/100</f>
        <v>#NAME?</v>
      </c>
      <c r="O22" s="6" t="e">
        <f t="shared" ca="1" si="2"/>
        <v>#NAME?</v>
      </c>
      <c r="P22" t="s">
        <v>25</v>
      </c>
      <c r="Q22" s="7" t="e">
        <f ca="1">_xll.BDP(A22&amp;" CUSIP","YLD_YTM_MID")</f>
        <v>#NAME?</v>
      </c>
      <c r="R22" s="7" t="e">
        <f ca="1">_xll.BDP($A22&amp;" CUSIP","YAS_MOD_DUR")</f>
        <v>#NAME?</v>
      </c>
      <c r="S22" s="7" t="e">
        <f ca="1">_xll.BDP($A22&amp;" CUSIP","CNVX_MID")</f>
        <v>#NAME?</v>
      </c>
      <c r="U22" t="e">
        <f ca="1">_xll.BDP($A22&amp;" CUSIP","VOLATILITY_360D")</f>
        <v>#NAME?</v>
      </c>
      <c r="V22" t="e">
        <f ca="1">_xll.BDP($A22&amp;" CUSIP","YAS_YLD_SPREAD")</f>
        <v>#NAME?</v>
      </c>
      <c r="W22" t="e">
        <f ca="1">_xll.BDP($A22&amp;" CUSIP","BLP_SPREAD_BENCHMARK_NAME_RT")</f>
        <v>#NAME?</v>
      </c>
      <c r="X22">
        <v>100</v>
      </c>
    </row>
    <row r="23" spans="1:24">
      <c r="A23" s="8" t="s">
        <v>50</v>
      </c>
      <c r="B23" t="e">
        <f ca="1">_xll.BDP(A23&amp;" CUSIP", "TICKER")</f>
        <v>#NAME?</v>
      </c>
      <c r="C23" t="e">
        <f ca="1">_xll.BDP(A23&amp;" CUSIP", "ID_CUSIP_REAL")</f>
        <v>#NAME?</v>
      </c>
      <c r="D23" s="4">
        <v>-4900000</v>
      </c>
      <c r="E23" t="e">
        <f ca="1">_xll.BDP(A23&amp;" CUSIP","LAST_PRICE")</f>
        <v>#NAME?</v>
      </c>
      <c r="F23" s="5" t="e">
        <f t="shared" ca="1" si="0"/>
        <v>#NAME?</v>
      </c>
      <c r="G23" t="e">
        <f ca="1">_xll.BDP(A23&amp;" CUSIP", "CPN_FREQ")</f>
        <v>#NAME?</v>
      </c>
      <c r="H23" t="e">
        <f ca="1">_xll.BDP(A23&amp;" CUSIP","CRNCY")</f>
        <v>#NAME?</v>
      </c>
      <c r="I23" t="e">
        <f ca="1">_xll.BDP($A23&amp;" CUSIP","RTG_MOODY")</f>
        <v>#NAME?</v>
      </c>
      <c r="J23" t="e">
        <f ca="1">_xll.BDP($A23&amp;" CUSIP","RTG_SP")</f>
        <v>#NAME?</v>
      </c>
      <c r="K23" t="e">
        <f ca="1">_xll.BDP($A23&amp;" CUSIP","RTG_DBRS")</f>
        <v>#NAME?</v>
      </c>
      <c r="L23" t="e">
        <f ca="1">_xll.BDP($A23&amp;" CUSIP","MATURITY")</f>
        <v>#NAME?</v>
      </c>
      <c r="M23" t="e">
        <f t="shared" ca="1" si="1"/>
        <v>#NAME?</v>
      </c>
      <c r="N23" s="6" t="e">
        <f ca="1">_xll.BDP($A23&amp;" CUSIP","CPN")/100</f>
        <v>#NAME?</v>
      </c>
      <c r="O23" s="6" t="e">
        <f t="shared" ca="1" si="2"/>
        <v>#NAME?</v>
      </c>
      <c r="P23" t="s">
        <v>25</v>
      </c>
      <c r="Q23" s="7" t="e">
        <f ca="1">_xll.BDP(A23&amp;" CUSIP","YLD_YTM_MID")</f>
        <v>#NAME?</v>
      </c>
      <c r="R23" s="7" t="e">
        <f ca="1">_xll.BDP($A23&amp;" CUSIP","YAS_MOD_DUR")</f>
        <v>#NAME?</v>
      </c>
      <c r="S23" s="7" t="e">
        <f ca="1">_xll.BDP($A23&amp;" CUSIP","CNVX_MID")</f>
        <v>#NAME?</v>
      </c>
      <c r="U23" t="e">
        <f ca="1">_xll.BDP($A23&amp;" CUSIP","VOLATILITY_360D")</f>
        <v>#NAME?</v>
      </c>
      <c r="V23" t="e">
        <f ca="1">_xll.BDP($A23&amp;" CUSIP","YAS_YLD_SPREAD")</f>
        <v>#NAME?</v>
      </c>
      <c r="W23" t="e">
        <f ca="1">_xll.BDP($A23&amp;" CUSIP","BLP_SPREAD_BENCHMARK_NAME_RT")</f>
        <v>#NAME?</v>
      </c>
      <c r="X23">
        <v>100</v>
      </c>
    </row>
    <row r="24" spans="1:24">
      <c r="A24" s="8" t="s">
        <v>51</v>
      </c>
      <c r="B24" t="e">
        <f ca="1">_xll.BDP(A24&amp;" CUSIP", "TICKER")</f>
        <v>#NAME?</v>
      </c>
      <c r="C24" t="e">
        <f ca="1">_xll.BDP(A24&amp;" CUSIP", "ID_CUSIP_REAL")</f>
        <v>#NAME?</v>
      </c>
      <c r="D24" s="4">
        <v>15500000</v>
      </c>
      <c r="E24" t="e">
        <f ca="1">_xll.BDP(A24&amp;" CUSIP","LAST_PRICE")</f>
        <v>#NAME?</v>
      </c>
      <c r="F24" s="5" t="e">
        <f t="shared" ca="1" si="0"/>
        <v>#NAME?</v>
      </c>
      <c r="G24" t="e">
        <f ca="1">_xll.BDP(A24&amp;" CUSIP", "CPN_FREQ")</f>
        <v>#NAME?</v>
      </c>
      <c r="H24" t="e">
        <f ca="1">_xll.BDP(A24&amp;" CUSIP","CRNCY")</f>
        <v>#NAME?</v>
      </c>
      <c r="I24" t="e">
        <f ca="1">_xll.BDP($A24&amp;" CUSIP","RTG_MOODY")</f>
        <v>#NAME?</v>
      </c>
      <c r="J24" t="e">
        <f ca="1">_xll.BDP($A24&amp;" CUSIP","RTG_SP")</f>
        <v>#NAME?</v>
      </c>
      <c r="K24" t="e">
        <f ca="1">_xll.BDP($A24&amp;" CUSIP","RTG_DBRS")</f>
        <v>#NAME?</v>
      </c>
      <c r="L24" t="e">
        <f ca="1">_xll.BDP($A24&amp;" CUSIP","MATURITY")</f>
        <v>#NAME?</v>
      </c>
      <c r="M24" t="e">
        <f t="shared" ca="1" si="1"/>
        <v>#NAME?</v>
      </c>
      <c r="N24" s="6" t="e">
        <f ca="1">_xll.BDP($A24&amp;" CUSIP","CPN")/100</f>
        <v>#NAME?</v>
      </c>
      <c r="O24" s="6" t="e">
        <f t="shared" ca="1" si="2"/>
        <v>#NAME?</v>
      </c>
      <c r="P24" t="s">
        <v>25</v>
      </c>
      <c r="Q24" s="7" t="e">
        <f ca="1">_xll.BDP(A24&amp;" CUSIP","YLD_YTM_MID")</f>
        <v>#NAME?</v>
      </c>
      <c r="R24" s="7" t="e">
        <f ca="1">_xll.BDP($A24&amp;" CUSIP","YAS_MOD_DUR")</f>
        <v>#NAME?</v>
      </c>
      <c r="S24" s="7" t="e">
        <f ca="1">_xll.BDP($A24&amp;" CUSIP","CNVX_MID")</f>
        <v>#NAME?</v>
      </c>
      <c r="U24" t="e">
        <f ca="1">_xll.BDP($A24&amp;" CUSIP","VOLATILITY_360D")</f>
        <v>#NAME?</v>
      </c>
      <c r="V24" t="e">
        <f ca="1">_xll.BDP($A24&amp;" CUSIP","YAS_YLD_SPREAD")</f>
        <v>#NAME?</v>
      </c>
      <c r="W24" t="e">
        <f ca="1">_xll.BDP($A24&amp;" CUSIP","BLP_SPREAD_BENCHMARK_NAME_RT")</f>
        <v>#NAME?</v>
      </c>
      <c r="X24">
        <v>100</v>
      </c>
    </row>
    <row r="25" spans="1:24">
      <c r="A25" s="8" t="s">
        <v>52</v>
      </c>
      <c r="B25" t="e">
        <f ca="1">_xll.BDP(A25&amp;" CUSIP", "TICKER")</f>
        <v>#NAME?</v>
      </c>
      <c r="C25" t="e">
        <f ca="1">_xll.BDP(A25&amp;" CUSIP", "ID_CUSIP_REAL")</f>
        <v>#NAME?</v>
      </c>
      <c r="D25" s="10">
        <v>-12000000</v>
      </c>
      <c r="E25" t="e">
        <f ca="1">_xll.BDP(A25&amp;" CUSIP","LAST_PRICE")</f>
        <v>#NAME?</v>
      </c>
      <c r="F25" s="5" t="e">
        <f t="shared" ca="1" si="0"/>
        <v>#NAME?</v>
      </c>
      <c r="G25" t="e">
        <f ca="1">_xll.BDP(A25&amp;" CUSIP", "CPN_FREQ")</f>
        <v>#NAME?</v>
      </c>
      <c r="H25" t="e">
        <f ca="1">_xll.BDP(A25&amp;" CUSIP","CRNCY")</f>
        <v>#NAME?</v>
      </c>
      <c r="I25" t="e">
        <f ca="1">_xll.BDP($A25&amp;" CUSIP","RTG_MOODY")</f>
        <v>#NAME?</v>
      </c>
      <c r="J25" t="e">
        <f ca="1">_xll.BDP($A25&amp;" CUSIP","RTG_SP")</f>
        <v>#NAME?</v>
      </c>
      <c r="K25" t="e">
        <f ca="1">_xll.BDP($A25&amp;" CUSIP","RTG_DBRS")</f>
        <v>#NAME?</v>
      </c>
      <c r="L25" t="e">
        <f ca="1">_xll.BDP($A25&amp;" CUSIP","MATURITY")</f>
        <v>#NAME?</v>
      </c>
      <c r="M25" t="e">
        <f t="shared" ca="1" si="1"/>
        <v>#NAME?</v>
      </c>
      <c r="N25" s="6" t="e">
        <f ca="1">_xll.BDP($A25&amp;" CUSIP","CPN")/100</f>
        <v>#NAME?</v>
      </c>
      <c r="O25" s="6" t="e">
        <f t="shared" ca="1" si="2"/>
        <v>#NAME?</v>
      </c>
      <c r="P25" t="s">
        <v>25</v>
      </c>
      <c r="Q25" s="7" t="e">
        <f ca="1">_xll.BDP(A25&amp;" CUSIP","YLD_YTM_MID")</f>
        <v>#NAME?</v>
      </c>
      <c r="R25" s="7" t="e">
        <f ca="1">_xll.BDP($A25&amp;" CUSIP","YAS_MOD_DUR")</f>
        <v>#NAME?</v>
      </c>
      <c r="S25" s="7" t="e">
        <f ca="1">_xll.BDP($A25&amp;" CUSIP","CNVX_MID")</f>
        <v>#NAME?</v>
      </c>
      <c r="U25" t="e">
        <f ca="1">_xll.BDP($A25&amp;" CUSIP","VOLATILITY_360D")</f>
        <v>#NAME?</v>
      </c>
      <c r="V25" t="e">
        <f ca="1">_xll.BDP($A25&amp;" CUSIP","YAS_YLD_SPREAD")</f>
        <v>#NAME?</v>
      </c>
      <c r="W25" t="e">
        <f ca="1">_xll.BDP($A25&amp;" CUSIP","BLP_SPREAD_BENCHMARK_NAME_RT")</f>
        <v>#NAME?</v>
      </c>
      <c r="X25">
        <v>100</v>
      </c>
    </row>
    <row r="26" spans="1:24">
      <c r="A26" s="8" t="s">
        <v>53</v>
      </c>
      <c r="B26" t="e">
        <f ca="1">_xll.BDP(A26&amp;" CUSIP", "TICKER")</f>
        <v>#NAME?</v>
      </c>
      <c r="C26" t="e">
        <f ca="1">_xll.BDP(A26&amp;" CUSIP", "ID_CUSIP_REAL")</f>
        <v>#NAME?</v>
      </c>
      <c r="D26" s="4">
        <v>24900000</v>
      </c>
      <c r="E26" t="e">
        <f ca="1">_xll.BDP(A26&amp;" CUSIP","LAST_PRICE")</f>
        <v>#NAME?</v>
      </c>
      <c r="F26" s="5" t="e">
        <f t="shared" ca="1" si="0"/>
        <v>#NAME?</v>
      </c>
      <c r="G26" t="e">
        <f ca="1">_xll.BDP(A26&amp;" CUSIP", "CPN_FREQ")</f>
        <v>#NAME?</v>
      </c>
      <c r="H26" t="e">
        <f ca="1">_xll.BDP(A26&amp;" CUSIP","CRNCY")</f>
        <v>#NAME?</v>
      </c>
      <c r="I26" t="e">
        <f ca="1">_xll.BDP($A26&amp;" CUSIP","RTG_MOODY")</f>
        <v>#NAME?</v>
      </c>
      <c r="J26" t="e">
        <f ca="1">_xll.BDP($A26&amp;" CUSIP","RTG_SP")</f>
        <v>#NAME?</v>
      </c>
      <c r="K26" t="e">
        <f ca="1">_xll.BDP($A26&amp;" CUSIP","RTG_DBRS")</f>
        <v>#NAME?</v>
      </c>
      <c r="L26" t="e">
        <f ca="1">_xll.BDP($A26&amp;" CUSIP","MATURITY")</f>
        <v>#NAME?</v>
      </c>
      <c r="M26" t="e">
        <f t="shared" ca="1" si="1"/>
        <v>#NAME?</v>
      </c>
      <c r="N26" s="6" t="e">
        <f ca="1">_xll.BDP($A26&amp;" CUSIP","CPN")/100</f>
        <v>#NAME?</v>
      </c>
      <c r="O26" s="6" t="e">
        <f t="shared" ca="1" si="2"/>
        <v>#NAME?</v>
      </c>
      <c r="P26" t="s">
        <v>25</v>
      </c>
      <c r="Q26" s="7" t="e">
        <f ca="1">_xll.BDP(A26&amp;" CUSIP","YLD_YTM_MID")</f>
        <v>#NAME?</v>
      </c>
      <c r="R26" s="7" t="e">
        <f ca="1">_xll.BDP($A26&amp;" CUSIP","YAS_MOD_DUR")</f>
        <v>#NAME?</v>
      </c>
      <c r="S26" s="7" t="e">
        <f ca="1">_xll.BDP($A26&amp;" CUSIP","CNVX_MID")</f>
        <v>#NAME?</v>
      </c>
      <c r="V26" t="e">
        <f ca="1">_xll.BDP($A26&amp;" CUSIP","YAS_YLD_SPREAD")</f>
        <v>#NAME?</v>
      </c>
      <c r="W26" t="e">
        <f ca="1">_xll.BDP($A26&amp;" CUSIP","BLP_SPREAD_BENCHMARK_NAME_RT")</f>
        <v>#NAME?</v>
      </c>
      <c r="X26">
        <v>100</v>
      </c>
    </row>
    <row r="27" spans="1:24">
      <c r="F27" s="11"/>
      <c r="O27" s="6"/>
      <c r="X27" s="12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"/>
  <sheetViews>
    <sheetView workbookViewId="0">
      <selection activeCell="F2" sqref="F2:F4"/>
    </sheetView>
  </sheetViews>
  <sheetFormatPr defaultRowHeight="15.75"/>
  <cols>
    <col min="2" max="2" width="13.25" customWidth="1"/>
    <col min="6" max="6" width="12.625" bestFit="1" customWidth="1"/>
    <col min="8" max="8" width="16.7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</row>
    <row r="2" spans="1:8">
      <c r="A2" t="s">
        <v>55</v>
      </c>
      <c r="B2" t="e">
        <f ca="1">_xll.BDP(A2&amp;" CUSIP", "TICKER")</f>
        <v>#NAME?</v>
      </c>
      <c r="C2" t="e">
        <f ca="1">_xll.BDP(A2&amp;" CUSIP", "ID_CUSIP")</f>
        <v>#NAME?</v>
      </c>
      <c r="D2" s="13">
        <v>20000</v>
      </c>
      <c r="E2" t="e">
        <f ca="1">_xll.BDP(A2&amp;" CUSIP", "LAST_PRICE")</f>
        <v>#NAME?</v>
      </c>
      <c r="F2" s="15" t="e">
        <f ca="1">+D2*E2</f>
        <v>#NAME?</v>
      </c>
      <c r="G2" t="e">
        <f ca="1">_xll.BDP(A2&amp;" CUSIP","CRNCY")</f>
        <v>#NAME?</v>
      </c>
      <c r="H2" s="6" t="e">
        <f ca="1">+F2/SUM($F$2:$F$4)</f>
        <v>#NAME?</v>
      </c>
    </row>
    <row r="3" spans="1:8">
      <c r="A3" t="s">
        <v>56</v>
      </c>
      <c r="B3" t="e">
        <f ca="1">_xll.BDP(A3&amp;" CUSIP", "TICKER")</f>
        <v>#NAME?</v>
      </c>
      <c r="C3" t="e">
        <f ca="1">_xll.BDP(A3&amp;" CUSIP", "ID_CUSIP")</f>
        <v>#NAME?</v>
      </c>
      <c r="D3" s="13">
        <v>75000</v>
      </c>
      <c r="E3" t="e">
        <f ca="1">_xll.BDP(A3&amp;" CUSIP", "LAST_PRICE")</f>
        <v>#NAME?</v>
      </c>
      <c r="F3" s="15" t="e">
        <f t="shared" ref="F3:F4" ca="1" si="0">+D3*E3</f>
        <v>#NAME?</v>
      </c>
      <c r="G3" t="e">
        <f ca="1">_xll.BDP(A3&amp;" CUSIP","CRNCY")</f>
        <v>#NAME?</v>
      </c>
      <c r="H3" s="6" t="e">
        <f t="shared" ref="H3:H4" ca="1" si="1">+F3/SUM($F$2:$F$4)</f>
        <v>#NAME?</v>
      </c>
    </row>
    <row r="4" spans="1:8">
      <c r="A4" t="s">
        <v>57</v>
      </c>
      <c r="B4" t="e">
        <f ca="1">_xll.BDP(A4&amp;" CUSIP", "TICKER")</f>
        <v>#NAME?</v>
      </c>
      <c r="C4" t="e">
        <f ca="1">_xll.BDP(A4&amp;" CUSIP", "ID_CUSIP")</f>
        <v>#NAME?</v>
      </c>
      <c r="D4" s="13">
        <v>10000</v>
      </c>
      <c r="E4" t="e">
        <f ca="1">_xll.BDP(A4&amp;" CUSIP", "LAST_PRICE")</f>
        <v>#NAME?</v>
      </c>
      <c r="F4" s="15" t="e">
        <f t="shared" ca="1" si="0"/>
        <v>#NAME?</v>
      </c>
      <c r="G4" t="e">
        <f ca="1">_xll.BDP(A4&amp;" CUSIP","CRNCY")</f>
        <v>#NAME?</v>
      </c>
      <c r="H4" s="6" t="e">
        <f t="shared" ca="1" si="1"/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"/>
  <sheetViews>
    <sheetView workbookViewId="0">
      <selection activeCell="I4" sqref="I4"/>
    </sheetView>
  </sheetViews>
  <sheetFormatPr defaultRowHeight="15.75"/>
  <cols>
    <col min="1" max="1" width="15.125" bestFit="1" customWidth="1"/>
    <col min="2" max="2" width="15" bestFit="1" customWidth="1"/>
    <col min="3" max="3" width="15" customWidth="1"/>
    <col min="4" max="4" width="15.125" bestFit="1" customWidth="1"/>
    <col min="5" max="5" width="10.375" bestFit="1" customWidth="1"/>
    <col min="6" max="6" width="14.5" bestFit="1" customWidth="1"/>
    <col min="7" max="7" width="5.875" bestFit="1" customWidth="1"/>
    <col min="8" max="8" width="8.5" bestFit="1" customWidth="1"/>
    <col min="9" max="10" width="12.5" bestFit="1" customWidth="1"/>
    <col min="11" max="11" width="14.75" bestFit="1" customWidth="1"/>
    <col min="12" max="12" width="14.25" bestFit="1" customWidth="1"/>
  </cols>
  <sheetData>
    <row r="1" spans="1:12">
      <c r="A1" t="s">
        <v>58</v>
      </c>
      <c r="B1" t="s">
        <v>59</v>
      </c>
      <c r="C1" t="s">
        <v>60</v>
      </c>
      <c r="D1" t="s">
        <v>61</v>
      </c>
      <c r="E1" t="s">
        <v>11</v>
      </c>
      <c r="F1" t="s">
        <v>12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L1" t="s">
        <v>67</v>
      </c>
    </row>
    <row r="2" spans="1:12">
      <c r="A2" t="s">
        <v>68</v>
      </c>
      <c r="B2" t="s">
        <v>69</v>
      </c>
      <c r="C2" s="14">
        <v>55000</v>
      </c>
      <c r="D2" t="s">
        <v>70</v>
      </c>
      <c r="E2" s="16">
        <v>42667</v>
      </c>
      <c r="F2">
        <f ca="1">+E2-TODAY()</f>
        <v>123</v>
      </c>
      <c r="G2">
        <v>56</v>
      </c>
      <c r="H2" t="s">
        <v>71</v>
      </c>
      <c r="I2" s="6" t="e">
        <f ca="1">_xll.BDP(B2&amp;" CUSIP", "DIVIDEND_YIELD")/100</f>
        <v>#NAME?</v>
      </c>
      <c r="J2" s="6" t="e">
        <f ca="1">_xll.BDP(B2&amp;" CUSIP", "COUNTRY_RISK_RFR")/100</f>
        <v>#NAME?</v>
      </c>
      <c r="K2" t="e">
        <f ca="1">_xll.BDP(B2&amp;" CUSIP", "6MO_PUT_IMP_VOL")</f>
        <v>#NAME?</v>
      </c>
      <c r="L2" t="e">
        <f ca="1">_xll.BDP(B2&amp;" CUSIP", "LAST_PRICE")</f>
        <v>#NAME?</v>
      </c>
    </row>
    <row r="3" spans="1:12">
      <c r="A3" t="s">
        <v>72</v>
      </c>
      <c r="B3" s="12" t="s">
        <v>73</v>
      </c>
      <c r="C3" s="14">
        <v>15000</v>
      </c>
      <c r="D3" t="s">
        <v>70</v>
      </c>
      <c r="E3" s="16">
        <v>42952</v>
      </c>
      <c r="F3">
        <f t="shared" ref="F3:F4" ca="1" si="0">+E3-TODAY()</f>
        <v>408</v>
      </c>
      <c r="G3">
        <v>187</v>
      </c>
      <c r="H3" t="s">
        <v>71</v>
      </c>
      <c r="I3" s="6" t="e">
        <f ca="1">_xll.BDP(B3&amp;" CUSIP", "DIVIDEND_YIELD")/100</f>
        <v>#NAME?</v>
      </c>
      <c r="J3" s="6" t="e">
        <f ca="1">_xll.BDP(B3&amp;" CUSIP", "COUNTRY_RISK_RFR")/100</f>
        <v>#NAME?</v>
      </c>
      <c r="K3" t="e">
        <f ca="1">_xll.BDP(B3&amp;" CUSIP", "6MO_PUT_IMP_VOL")</f>
        <v>#NAME?</v>
      </c>
      <c r="L3" t="e">
        <f ca="1">_xll.BDP(B3&amp;" CUSIP", "LAST_PRICE")</f>
        <v>#NAME?</v>
      </c>
    </row>
    <row r="4" spans="1:12">
      <c r="A4" t="s">
        <v>74</v>
      </c>
      <c r="B4" t="s">
        <v>75</v>
      </c>
      <c r="C4" s="14">
        <v>140000</v>
      </c>
      <c r="D4" t="s">
        <v>76</v>
      </c>
      <c r="E4" s="16">
        <v>43012</v>
      </c>
      <c r="F4">
        <f t="shared" ca="1" si="0"/>
        <v>468</v>
      </c>
      <c r="G4">
        <v>58.84</v>
      </c>
      <c r="H4" t="s">
        <v>77</v>
      </c>
      <c r="I4" s="6" t="e">
        <f ca="1">_xll.BDP(B4&amp;" CUSIP", "DIVIDEND_YIELD")/100</f>
        <v>#NAME?</v>
      </c>
      <c r="J4" s="6" t="e">
        <f ca="1">_xll.BDP(B4&amp;" CUSIP", "COUNTRY_RISK_RFR")/100</f>
        <v>#NAME?</v>
      </c>
      <c r="K4" t="e">
        <f ca="1">_xll.BDP(B4&amp;" CUSIP", "6MO_PUT_IMP_VOL")</f>
        <v>#NAME?</v>
      </c>
      <c r="L4" t="e">
        <f ca="1">_xll.BDP(B4&amp;" CUSIP", "LAST_PRICE")</f>
        <v>#NAME?</v>
      </c>
    </row>
  </sheetData>
  <pageMargins left="0.7" right="0.7" top="0.75" bottom="0.75" header="0.3" footer="0.3"/>
  <ignoredErrors>
    <ignoredError sqref="B3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"/>
  <sheetViews>
    <sheetView tabSelected="1" workbookViewId="0">
      <selection activeCell="H2" sqref="H2"/>
    </sheetView>
  </sheetViews>
  <sheetFormatPr defaultRowHeight="15.75"/>
  <cols>
    <col min="1" max="1" width="27.5" bestFit="1" customWidth="1"/>
    <col min="3" max="3" width="11.125" bestFit="1" customWidth="1"/>
    <col min="6" max="6" width="10.375" bestFit="1" customWidth="1"/>
    <col min="7" max="7" width="14.5" bestFit="1" customWidth="1"/>
    <col min="10" max="10" width="9.625" bestFit="1" customWidth="1"/>
  </cols>
  <sheetData>
    <row r="1" spans="1:14">
      <c r="A1" t="s">
        <v>78</v>
      </c>
      <c r="B1" t="s">
        <v>60</v>
      </c>
      <c r="C1" t="s">
        <v>79</v>
      </c>
      <c r="D1" t="s">
        <v>21</v>
      </c>
      <c r="E1" t="s">
        <v>80</v>
      </c>
      <c r="F1" t="s">
        <v>11</v>
      </c>
      <c r="G1" t="s">
        <v>12</v>
      </c>
      <c r="H1" t="s">
        <v>81</v>
      </c>
      <c r="I1" t="s">
        <v>82</v>
      </c>
      <c r="J1" s="3" t="s">
        <v>83</v>
      </c>
      <c r="K1" t="s">
        <v>84</v>
      </c>
      <c r="L1" t="s">
        <v>85</v>
      </c>
      <c r="M1" t="s">
        <v>86</v>
      </c>
      <c r="N1" t="s">
        <v>87</v>
      </c>
    </row>
    <row r="2" spans="1:14">
      <c r="A2" s="8" t="s">
        <v>88</v>
      </c>
      <c r="B2" s="10">
        <v>4</v>
      </c>
      <c r="C2" s="4">
        <v>10000000</v>
      </c>
      <c r="D2" s="17">
        <v>5.6500000000000002E-2</v>
      </c>
      <c r="E2" s="8">
        <v>0.25</v>
      </c>
      <c r="F2" s="18">
        <v>43819</v>
      </c>
      <c r="G2">
        <f ca="1">+F2-TODAY()</f>
        <v>1275</v>
      </c>
      <c r="H2" t="str">
        <f>+CDS_Aux!$G$2</f>
        <v>[0 0,5 1 2 3 4 5 7 10]</v>
      </c>
      <c r="I2" t="e">
        <f ca="1">+CDS_Aux!G1</f>
        <v>#NAME?</v>
      </c>
      <c r="J2" s="19">
        <v>1</v>
      </c>
      <c r="K2">
        <v>0.4</v>
      </c>
      <c r="N2">
        <v>30</v>
      </c>
    </row>
    <row r="3" spans="1:14">
      <c r="A3" s="3" t="s">
        <v>89</v>
      </c>
      <c r="B3" s="4">
        <v>2</v>
      </c>
      <c r="C3" s="4">
        <v>10000000</v>
      </c>
      <c r="D3" s="17">
        <v>4.4699999999999997E-2</v>
      </c>
      <c r="E3" s="8">
        <v>0.25</v>
      </c>
      <c r="F3" s="18">
        <v>44002</v>
      </c>
      <c r="G3">
        <f t="shared" ref="G3:G10" ca="1" si="0">+F3-TODAY()</f>
        <v>1458</v>
      </c>
      <c r="H3" t="str">
        <f>+CDS_Aux!$G$2</f>
        <v>[0 0,5 1 2 3 4 5 7 10]</v>
      </c>
      <c r="I3" t="e">
        <f ca="1">+CDS_Aux!G11</f>
        <v>#NAME?</v>
      </c>
      <c r="J3" s="19">
        <v>0</v>
      </c>
      <c r="K3">
        <v>0.4</v>
      </c>
      <c r="N3">
        <v>30</v>
      </c>
    </row>
    <row r="4" spans="1:14">
      <c r="A4" s="3" t="s">
        <v>90</v>
      </c>
      <c r="B4" s="10">
        <v>3</v>
      </c>
      <c r="C4" s="4">
        <v>10000000</v>
      </c>
      <c r="D4" s="17">
        <v>0.05</v>
      </c>
      <c r="E4" s="8">
        <v>0.25</v>
      </c>
      <c r="F4" s="18">
        <v>42724</v>
      </c>
      <c r="G4">
        <f t="shared" ca="1" si="0"/>
        <v>180</v>
      </c>
      <c r="H4" t="str">
        <f>+CDS_Aux!$G$2</f>
        <v>[0 0,5 1 2 3 4 5 7 10]</v>
      </c>
      <c r="I4" t="e">
        <f ca="1">+CDS_Aux!G21</f>
        <v>#NAME?</v>
      </c>
      <c r="J4" s="19">
        <v>1</v>
      </c>
      <c r="K4">
        <v>0.4</v>
      </c>
      <c r="N4">
        <v>30</v>
      </c>
    </row>
    <row r="5" spans="1:14">
      <c r="A5" s="8" t="s">
        <v>91</v>
      </c>
      <c r="B5" s="10">
        <v>2</v>
      </c>
      <c r="C5" s="4">
        <v>10000000</v>
      </c>
      <c r="D5" s="17">
        <v>3.3500000000000002E-2</v>
      </c>
      <c r="E5" s="8">
        <v>0.25</v>
      </c>
      <c r="F5" s="18">
        <v>42724</v>
      </c>
      <c r="G5">
        <f t="shared" ca="1" si="0"/>
        <v>180</v>
      </c>
      <c r="H5" t="str">
        <f>+CDS_Aux!$G$2</f>
        <v>[0 0,5 1 2 3 4 5 7 10]</v>
      </c>
      <c r="I5" t="e">
        <f ca="1">+CDS_Aux!G31</f>
        <v>#NAME?</v>
      </c>
      <c r="J5" s="19">
        <v>1</v>
      </c>
      <c r="K5">
        <v>0.4</v>
      </c>
      <c r="N5">
        <v>30</v>
      </c>
    </row>
    <row r="6" spans="1:14">
      <c r="A6" s="8" t="s">
        <v>92</v>
      </c>
      <c r="B6" s="10">
        <v>4</v>
      </c>
      <c r="C6" s="4">
        <v>10000000</v>
      </c>
      <c r="D6" s="17">
        <v>1.35E-2</v>
      </c>
      <c r="E6" s="8">
        <v>0.25</v>
      </c>
      <c r="F6" s="18">
        <v>42724</v>
      </c>
      <c r="G6">
        <f t="shared" ca="1" si="0"/>
        <v>180</v>
      </c>
      <c r="H6" t="str">
        <f>+CDS_Aux!$G$2</f>
        <v>[0 0,5 1 2 3 4 5 7 10]</v>
      </c>
      <c r="I6" t="e">
        <f ca="1">+CDS_Aux!G71</f>
        <v>#NAME?</v>
      </c>
      <c r="J6" s="19">
        <v>1</v>
      </c>
      <c r="K6">
        <v>0.4</v>
      </c>
      <c r="N6">
        <v>30</v>
      </c>
    </row>
    <row r="7" spans="1:14">
      <c r="A7" s="3" t="s">
        <v>93</v>
      </c>
      <c r="B7" s="4">
        <v>4</v>
      </c>
      <c r="C7" s="4">
        <v>10000000</v>
      </c>
      <c r="D7" s="17">
        <v>1.03E-2</v>
      </c>
      <c r="E7" s="8">
        <v>0.25</v>
      </c>
      <c r="F7" s="18">
        <v>43363</v>
      </c>
      <c r="G7">
        <f t="shared" ca="1" si="0"/>
        <v>819</v>
      </c>
      <c r="H7" t="str">
        <f>+CDS_Aux!$G$2</f>
        <v>[0 0,5 1 2 3 4 5 7 10]</v>
      </c>
      <c r="I7" t="e">
        <f ca="1">+CDS_Aux!G81</f>
        <v>#NAME?</v>
      </c>
      <c r="J7" s="19">
        <v>0</v>
      </c>
      <c r="K7">
        <v>0.4</v>
      </c>
      <c r="N7">
        <v>30</v>
      </c>
    </row>
    <row r="8" spans="1:14">
      <c r="A8" s="8" t="s">
        <v>94</v>
      </c>
      <c r="B8" s="4">
        <v>3</v>
      </c>
      <c r="C8" s="4">
        <v>10000000</v>
      </c>
      <c r="D8" s="17">
        <v>8.8999999999999999E-3</v>
      </c>
      <c r="E8" s="8">
        <v>0.25</v>
      </c>
      <c r="F8" s="18">
        <v>43819</v>
      </c>
      <c r="G8">
        <f t="shared" ca="1" si="0"/>
        <v>1275</v>
      </c>
      <c r="H8" t="str">
        <f>+CDS_Aux!$G$2</f>
        <v>[0 0,5 1 2 3 4 5 7 10]</v>
      </c>
      <c r="I8" t="e">
        <f ca="1">+CDS_Aux!G41</f>
        <v>#NAME?</v>
      </c>
      <c r="J8" s="19">
        <v>1</v>
      </c>
      <c r="K8">
        <v>0.4</v>
      </c>
      <c r="N8">
        <v>30</v>
      </c>
    </row>
    <row r="9" spans="1:14">
      <c r="A9" s="8" t="s">
        <v>95</v>
      </c>
      <c r="B9" s="4">
        <v>1</v>
      </c>
      <c r="C9" s="4">
        <v>10000000</v>
      </c>
      <c r="D9" s="17">
        <v>1.15E-2</v>
      </c>
      <c r="E9" s="8">
        <v>0.25</v>
      </c>
      <c r="F9" s="18">
        <v>44367</v>
      </c>
      <c r="G9">
        <f t="shared" ca="1" si="0"/>
        <v>1823</v>
      </c>
      <c r="H9" t="str">
        <f>+CDS_Aux!$G$2</f>
        <v>[0 0,5 1 2 3 4 5 7 10]</v>
      </c>
      <c r="I9" t="e">
        <f ca="1">+CDS_Aux!G61</f>
        <v>#NAME?</v>
      </c>
      <c r="J9" s="19">
        <v>1</v>
      </c>
      <c r="K9">
        <v>0.4</v>
      </c>
      <c r="N9">
        <v>30</v>
      </c>
    </row>
    <row r="10" spans="1:14">
      <c r="A10" s="8" t="s">
        <v>96</v>
      </c>
      <c r="B10" s="10">
        <v>1</v>
      </c>
      <c r="C10" s="4">
        <v>10000000</v>
      </c>
      <c r="D10" s="17">
        <v>0.05</v>
      </c>
      <c r="E10" s="8">
        <v>0.25</v>
      </c>
      <c r="F10" s="18">
        <v>42906</v>
      </c>
      <c r="G10">
        <f t="shared" ca="1" si="0"/>
        <v>362</v>
      </c>
      <c r="H10" t="str">
        <f>+CDS_Aux!$G$2</f>
        <v>[0 0,5 1 2 3 4 5 7 10]</v>
      </c>
      <c r="I10" t="e">
        <f ca="1">+CDS_Aux!G91</f>
        <v>#NAME?</v>
      </c>
      <c r="J10" s="19">
        <v>1</v>
      </c>
      <c r="K10">
        <v>0.4</v>
      </c>
      <c r="N10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9"/>
  <sheetViews>
    <sheetView workbookViewId="0">
      <selection activeCell="G1" sqref="G1"/>
    </sheetView>
  </sheetViews>
  <sheetFormatPr defaultRowHeight="15"/>
  <cols>
    <col min="1" max="1" width="5.375" style="21" bestFit="1" customWidth="1"/>
    <col min="2" max="2" width="22.625" style="21" customWidth="1"/>
    <col min="3" max="3" width="72.125" style="21" bestFit="1" customWidth="1"/>
    <col min="4" max="4" width="51.5" style="21" customWidth="1"/>
    <col min="5" max="5" width="22.625" style="21" customWidth="1"/>
    <col min="6" max="6" width="6.875" style="20" bestFit="1" customWidth="1"/>
    <col min="7" max="7" width="26.875" style="20" customWidth="1"/>
    <col min="8" max="8" width="49.875" style="20" bestFit="1" customWidth="1"/>
    <col min="9" max="10" width="54.625" style="20" bestFit="1" customWidth="1"/>
    <col min="11" max="11" width="67.375" style="20" bestFit="1" customWidth="1"/>
    <col min="12" max="13" width="72.125" style="20" bestFit="1" customWidth="1"/>
    <col min="14" max="14" width="44.125" style="20" bestFit="1" customWidth="1"/>
    <col min="15" max="16" width="48.875" style="20" bestFit="1" customWidth="1"/>
    <col min="17" max="17" width="46.375" style="20" bestFit="1" customWidth="1"/>
    <col min="18" max="19" width="51.125" style="20" bestFit="1" customWidth="1"/>
    <col min="20" max="20" width="47.5" style="20" bestFit="1" customWidth="1"/>
    <col min="21" max="22" width="52.375" style="20" bestFit="1" customWidth="1"/>
    <col min="23" max="23" width="52" style="20" bestFit="1" customWidth="1"/>
    <col min="24" max="25" width="56.75" style="20" bestFit="1" customWidth="1"/>
    <col min="26" max="26" width="33.5" style="20" bestFit="1" customWidth="1"/>
    <col min="27" max="28" width="34.375" style="20" bestFit="1" customWidth="1"/>
    <col min="29" max="29" width="33.5" style="20" bestFit="1" customWidth="1"/>
    <col min="30" max="31" width="34.375" style="20" bestFit="1" customWidth="1"/>
    <col min="32" max="16384" width="9" style="20"/>
  </cols>
  <sheetData>
    <row r="1" spans="1:7">
      <c r="A1" s="22" t="s">
        <v>97</v>
      </c>
      <c r="B1" s="22" t="s">
        <v>98</v>
      </c>
      <c r="C1" s="22" t="s">
        <v>99</v>
      </c>
      <c r="D1" s="22" t="s">
        <v>100</v>
      </c>
      <c r="E1" s="22" t="s">
        <v>101</v>
      </c>
      <c r="F1" s="22" t="s">
        <v>102</v>
      </c>
      <c r="G1" s="20" t="e">
        <f ca="1">+CONCATENATE("[",0," ",F2," ",F3," ",F4," ",F5," ",F6," ",F7," ",F8," ",F9,"]")</f>
        <v>#NAME?</v>
      </c>
    </row>
    <row r="2" spans="1:7">
      <c r="A2" s="21" t="s">
        <v>103</v>
      </c>
      <c r="B2" s="21" t="s">
        <v>104</v>
      </c>
      <c r="C2" s="21" t="s">
        <v>105</v>
      </c>
      <c r="D2" s="21" t="e">
        <f ca="1">_xll.BDP(B2&amp;" CUSIP", "CDS_FLAT_SPREAD")</f>
        <v>#NAME?</v>
      </c>
      <c r="E2" s="21">
        <v>0.4</v>
      </c>
      <c r="F2" s="20" t="e">
        <f t="shared" ref="F2:F9" ca="1" si="0">+D2/E2/100</f>
        <v>#NAME?</v>
      </c>
      <c r="G2" s="20" t="str">
        <f>+CONCATENATE("[",0," ",0.5," ",1," ",2," ",3," ",4," ",5," ",7," ",10,"]")</f>
        <v>[0 0,5 1 2 3 4 5 7 10]</v>
      </c>
    </row>
    <row r="3" spans="1:7">
      <c r="A3" s="21" t="s">
        <v>106</v>
      </c>
      <c r="B3" s="21" t="s">
        <v>107</v>
      </c>
      <c r="C3" s="21" t="s">
        <v>108</v>
      </c>
      <c r="D3" s="21" t="e">
        <f ca="1">_xll.BDP(B3&amp;" CUSIP", "CDS_FLAT_SPREAD")</f>
        <v>#NAME?</v>
      </c>
      <c r="E3" s="21">
        <v>0.4</v>
      </c>
      <c r="F3" s="20" t="e">
        <f t="shared" ca="1" si="0"/>
        <v>#NAME?</v>
      </c>
    </row>
    <row r="4" spans="1:7">
      <c r="A4" s="21" t="s">
        <v>109</v>
      </c>
      <c r="B4" s="21" t="s">
        <v>110</v>
      </c>
      <c r="C4" s="21" t="s">
        <v>111</v>
      </c>
      <c r="D4" s="21" t="e">
        <f ca="1">_xll.BDP(B4&amp;" CUSIP", "CDS_FLAT_SPREAD")</f>
        <v>#NAME?</v>
      </c>
      <c r="E4" s="21">
        <v>0.4</v>
      </c>
      <c r="F4" s="20" t="e">
        <f t="shared" ca="1" si="0"/>
        <v>#NAME?</v>
      </c>
    </row>
    <row r="5" spans="1:7">
      <c r="A5" s="21" t="s">
        <v>112</v>
      </c>
      <c r="B5" s="21" t="s">
        <v>113</v>
      </c>
      <c r="C5" s="21" t="s">
        <v>114</v>
      </c>
      <c r="D5" s="21" t="e">
        <f ca="1">_xll.BDP(B5&amp;" CUSIP", "CDS_FLAT_SPREAD")</f>
        <v>#NAME?</v>
      </c>
      <c r="E5" s="21">
        <v>0.4</v>
      </c>
      <c r="F5" s="20" t="e">
        <f t="shared" ca="1" si="0"/>
        <v>#NAME?</v>
      </c>
    </row>
    <row r="6" spans="1:7">
      <c r="A6" s="21" t="s">
        <v>115</v>
      </c>
      <c r="B6" s="21" t="s">
        <v>116</v>
      </c>
      <c r="C6" s="21" t="s">
        <v>117</v>
      </c>
      <c r="D6" s="21" t="e">
        <f ca="1">_xll.BDP(B6&amp;" CUSIP", "CDS_FLAT_SPREAD")</f>
        <v>#NAME?</v>
      </c>
      <c r="E6" s="21">
        <v>0.4</v>
      </c>
      <c r="F6" s="20" t="e">
        <f t="shared" ca="1" si="0"/>
        <v>#NAME?</v>
      </c>
    </row>
    <row r="7" spans="1:7">
      <c r="A7" s="21" t="s">
        <v>118</v>
      </c>
      <c r="B7" s="21" t="s">
        <v>119</v>
      </c>
      <c r="C7" s="21" t="s">
        <v>120</v>
      </c>
      <c r="D7" s="21" t="e">
        <f ca="1">_xll.BDP(B7&amp;" CUSIP", "CDS_FLAT_SPREAD")</f>
        <v>#NAME?</v>
      </c>
      <c r="E7" s="21">
        <v>0.4</v>
      </c>
      <c r="F7" s="20" t="e">
        <f t="shared" ca="1" si="0"/>
        <v>#NAME?</v>
      </c>
    </row>
    <row r="8" spans="1:7">
      <c r="A8" s="21" t="s">
        <v>121</v>
      </c>
      <c r="B8" s="21" t="s">
        <v>122</v>
      </c>
      <c r="C8" s="21" t="s">
        <v>123</v>
      </c>
      <c r="D8" s="21" t="e">
        <f ca="1">_xll.BDP(B8&amp;" CUSIP", "CDS_FLAT_SPREAD")</f>
        <v>#NAME?</v>
      </c>
      <c r="E8" s="21">
        <v>0.4</v>
      </c>
      <c r="F8" s="20" t="e">
        <f t="shared" ca="1" si="0"/>
        <v>#NAME?</v>
      </c>
    </row>
    <row r="9" spans="1:7">
      <c r="A9" s="21" t="s">
        <v>124</v>
      </c>
      <c r="B9" s="21" t="s">
        <v>125</v>
      </c>
      <c r="C9" s="21" t="s">
        <v>126</v>
      </c>
      <c r="D9" s="21" t="e">
        <f ca="1">_xll.BDP(B9&amp;" CUSIP", "CDS_FLAT_SPREAD")</f>
        <v>#NAME?</v>
      </c>
      <c r="E9" s="21">
        <v>0.4</v>
      </c>
      <c r="F9" s="20" t="e">
        <f t="shared" ca="1" si="0"/>
        <v>#NAME?</v>
      </c>
    </row>
    <row r="11" spans="1:7">
      <c r="A11" s="22" t="s">
        <v>97</v>
      </c>
      <c r="B11" s="22" t="s">
        <v>127</v>
      </c>
      <c r="C11" s="22" t="s">
        <v>128</v>
      </c>
      <c r="D11" s="22" t="s">
        <v>129</v>
      </c>
      <c r="E11" s="22" t="s">
        <v>101</v>
      </c>
      <c r="F11" s="22" t="s">
        <v>102</v>
      </c>
      <c r="G11" s="20" t="e">
        <f ca="1">+CONCATENATE("[",0," ",F12," ",F13," ",F14," ",F15," ",F16," ",F17," ",F18," ",F19,"]")</f>
        <v>#NAME?</v>
      </c>
    </row>
    <row r="12" spans="1:7">
      <c r="A12" s="21" t="s">
        <v>103</v>
      </c>
      <c r="B12" s="21" t="s">
        <v>130</v>
      </c>
      <c r="C12" s="21" t="s">
        <v>131</v>
      </c>
      <c r="D12" s="21" t="e">
        <f ca="1">_xll.BDP(B12&amp;" CUSIP", "CDS_FLAT_SPREAD")</f>
        <v>#NAME?</v>
      </c>
      <c r="E12" s="21">
        <v>0.4</v>
      </c>
      <c r="F12" s="20" t="e">
        <f t="shared" ref="F12:F19" ca="1" si="1">+D12/E12/100</f>
        <v>#NAME?</v>
      </c>
    </row>
    <row r="13" spans="1:7">
      <c r="A13" s="21" t="s">
        <v>106</v>
      </c>
      <c r="B13" s="21" t="s">
        <v>132</v>
      </c>
      <c r="C13" s="21" t="s">
        <v>133</v>
      </c>
      <c r="D13" s="21" t="e">
        <f ca="1">_xll.BDP(B13&amp;" CUSIP", "CDS_FLAT_SPREAD")</f>
        <v>#NAME?</v>
      </c>
      <c r="E13" s="21">
        <v>0.4</v>
      </c>
      <c r="F13" s="20" t="e">
        <f t="shared" ca="1" si="1"/>
        <v>#NAME?</v>
      </c>
    </row>
    <row r="14" spans="1:7">
      <c r="A14" s="21" t="s">
        <v>109</v>
      </c>
      <c r="B14" s="21" t="s">
        <v>134</v>
      </c>
      <c r="C14" s="21" t="s">
        <v>135</v>
      </c>
      <c r="D14" s="21" t="e">
        <f ca="1">_xll.BDP(B14&amp;" CUSIP", "CDS_FLAT_SPREAD")</f>
        <v>#NAME?</v>
      </c>
      <c r="E14" s="21">
        <v>0.4</v>
      </c>
      <c r="F14" s="20" t="e">
        <f t="shared" ca="1" si="1"/>
        <v>#NAME?</v>
      </c>
    </row>
    <row r="15" spans="1:7">
      <c r="A15" s="21" t="s">
        <v>112</v>
      </c>
      <c r="B15" s="21" t="s">
        <v>136</v>
      </c>
      <c r="C15" s="21" t="s">
        <v>137</v>
      </c>
      <c r="D15" s="21" t="e">
        <f ca="1">_xll.BDP(B15&amp;" CUSIP", "CDS_FLAT_SPREAD")</f>
        <v>#NAME?</v>
      </c>
      <c r="E15" s="21">
        <v>0.4</v>
      </c>
      <c r="F15" s="20" t="e">
        <f t="shared" ca="1" si="1"/>
        <v>#NAME?</v>
      </c>
    </row>
    <row r="16" spans="1:7">
      <c r="A16" s="21" t="s">
        <v>115</v>
      </c>
      <c r="B16" s="21" t="s">
        <v>138</v>
      </c>
      <c r="C16" s="21" t="s">
        <v>139</v>
      </c>
      <c r="D16" s="21" t="e">
        <f ca="1">_xll.BDP(B16&amp;" CUSIP", "CDS_FLAT_SPREAD")</f>
        <v>#NAME?</v>
      </c>
      <c r="E16" s="21">
        <v>0.4</v>
      </c>
      <c r="F16" s="20" t="e">
        <f t="shared" ca="1" si="1"/>
        <v>#NAME?</v>
      </c>
    </row>
    <row r="17" spans="1:7">
      <c r="A17" s="21" t="s">
        <v>118</v>
      </c>
      <c r="B17" s="21" t="s">
        <v>140</v>
      </c>
      <c r="C17" s="21" t="s">
        <v>141</v>
      </c>
      <c r="D17" s="21" t="e">
        <f ca="1">_xll.BDP(B17&amp;" CUSIP", "CDS_FLAT_SPREAD")</f>
        <v>#NAME?</v>
      </c>
      <c r="E17" s="21">
        <v>0.4</v>
      </c>
      <c r="F17" s="20" t="e">
        <f t="shared" ca="1" si="1"/>
        <v>#NAME?</v>
      </c>
    </row>
    <row r="18" spans="1:7">
      <c r="A18" s="21" t="s">
        <v>121</v>
      </c>
      <c r="B18" s="21" t="s">
        <v>142</v>
      </c>
      <c r="C18" s="21" t="s">
        <v>143</v>
      </c>
      <c r="D18" s="21" t="e">
        <f ca="1">_xll.BDP(B18&amp;" CUSIP", "CDS_FLAT_SPREAD")</f>
        <v>#NAME?</v>
      </c>
      <c r="E18" s="21">
        <v>0.4</v>
      </c>
      <c r="F18" s="20" t="e">
        <f t="shared" ca="1" si="1"/>
        <v>#NAME?</v>
      </c>
    </row>
    <row r="19" spans="1:7">
      <c r="A19" s="21" t="s">
        <v>124</v>
      </c>
      <c r="B19" s="21" t="s">
        <v>144</v>
      </c>
      <c r="C19" s="21" t="s">
        <v>145</v>
      </c>
      <c r="D19" s="21" t="e">
        <f ca="1">_xll.BDP(B19&amp;" CUSIP", "CDS_FLAT_SPREAD")</f>
        <v>#NAME?</v>
      </c>
      <c r="E19" s="21">
        <v>0.4</v>
      </c>
      <c r="F19" s="20" t="e">
        <f t="shared" ca="1" si="1"/>
        <v>#NAME?</v>
      </c>
    </row>
    <row r="21" spans="1:7">
      <c r="A21" s="22" t="s">
        <v>97</v>
      </c>
      <c r="B21" s="22" t="s">
        <v>146</v>
      </c>
      <c r="C21" s="22" t="s">
        <v>147</v>
      </c>
      <c r="D21" s="22" t="s">
        <v>148</v>
      </c>
      <c r="E21" s="22" t="s">
        <v>101</v>
      </c>
      <c r="F21" s="22" t="s">
        <v>102</v>
      </c>
      <c r="G21" s="20" t="e">
        <f ca="1">+CONCATENATE("[",0," ",F22," ",F23," ",F24," ",F25," ",F26," ",F27," ",F28," ",F29,"]")</f>
        <v>#NAME?</v>
      </c>
    </row>
    <row r="22" spans="1:7">
      <c r="A22" s="21" t="s">
        <v>103</v>
      </c>
      <c r="B22" s="21" t="s">
        <v>149</v>
      </c>
      <c r="C22" s="21" t="s">
        <v>150</v>
      </c>
      <c r="D22" s="21" t="e">
        <f ca="1">_xll.BDP(B22&amp;" CUSIP", "CDS_FLAT_SPREAD")</f>
        <v>#NAME?</v>
      </c>
      <c r="E22" s="21">
        <v>0.4</v>
      </c>
      <c r="F22" s="20" t="e">
        <f t="shared" ref="F22:F29" ca="1" si="2">+D22/E22/100</f>
        <v>#NAME?</v>
      </c>
    </row>
    <row r="23" spans="1:7">
      <c r="A23" s="21" t="s">
        <v>106</v>
      </c>
      <c r="B23" s="21" t="s">
        <v>151</v>
      </c>
      <c r="C23" s="21" t="s">
        <v>152</v>
      </c>
      <c r="D23" s="21" t="e">
        <f ca="1">_xll.BDP(B23&amp;" CUSIP", "CDS_FLAT_SPREAD")</f>
        <v>#NAME?</v>
      </c>
      <c r="E23" s="21">
        <v>0.4</v>
      </c>
      <c r="F23" s="20" t="e">
        <f t="shared" ca="1" si="2"/>
        <v>#NAME?</v>
      </c>
    </row>
    <row r="24" spans="1:7">
      <c r="A24" s="21" t="s">
        <v>109</v>
      </c>
      <c r="B24" s="21" t="s">
        <v>153</v>
      </c>
      <c r="C24" s="21" t="s">
        <v>154</v>
      </c>
      <c r="D24" s="21" t="e">
        <f ca="1">_xll.BDP(B24&amp;" CUSIP", "CDS_FLAT_SPREAD")</f>
        <v>#NAME?</v>
      </c>
      <c r="E24" s="21">
        <v>0.4</v>
      </c>
      <c r="F24" s="20" t="e">
        <f t="shared" ca="1" si="2"/>
        <v>#NAME?</v>
      </c>
    </row>
    <row r="25" spans="1:7">
      <c r="A25" s="21" t="s">
        <v>112</v>
      </c>
      <c r="B25" s="21" t="s">
        <v>155</v>
      </c>
      <c r="C25" s="21" t="s">
        <v>156</v>
      </c>
      <c r="D25" s="21" t="e">
        <f ca="1">_xll.BDP(B25&amp;" CUSIP", "CDS_FLAT_SPREAD")</f>
        <v>#NAME?</v>
      </c>
      <c r="E25" s="21">
        <v>0.4</v>
      </c>
      <c r="F25" s="20" t="e">
        <f t="shared" ca="1" si="2"/>
        <v>#NAME?</v>
      </c>
    </row>
    <row r="26" spans="1:7">
      <c r="A26" s="21" t="s">
        <v>115</v>
      </c>
      <c r="B26" s="21" t="s">
        <v>157</v>
      </c>
      <c r="C26" s="21" t="s">
        <v>158</v>
      </c>
      <c r="D26" s="21" t="e">
        <f ca="1">_xll.BDP(B26&amp;" CUSIP", "CDS_FLAT_SPREAD")</f>
        <v>#NAME?</v>
      </c>
      <c r="E26" s="21">
        <v>0.4</v>
      </c>
      <c r="F26" s="20" t="e">
        <f t="shared" ca="1" si="2"/>
        <v>#NAME?</v>
      </c>
    </row>
    <row r="27" spans="1:7">
      <c r="A27" s="21" t="s">
        <v>118</v>
      </c>
      <c r="B27" s="21" t="s">
        <v>159</v>
      </c>
      <c r="C27" s="21" t="s">
        <v>160</v>
      </c>
      <c r="D27" s="21" t="e">
        <f ca="1">_xll.BDP(B27&amp;" CUSIP", "CDS_FLAT_SPREAD")</f>
        <v>#NAME?</v>
      </c>
      <c r="E27" s="21">
        <v>0.4</v>
      </c>
      <c r="F27" s="20" t="e">
        <f t="shared" ca="1" si="2"/>
        <v>#NAME?</v>
      </c>
    </row>
    <row r="28" spans="1:7">
      <c r="A28" s="21" t="s">
        <v>121</v>
      </c>
      <c r="B28" s="21" t="s">
        <v>161</v>
      </c>
      <c r="C28" s="21" t="s">
        <v>162</v>
      </c>
      <c r="D28" s="21" t="e">
        <f ca="1">_xll.BDP(B28&amp;" CUSIP", "CDS_FLAT_SPREAD")</f>
        <v>#NAME?</v>
      </c>
      <c r="E28" s="21">
        <v>0.4</v>
      </c>
      <c r="F28" s="20" t="e">
        <f t="shared" ca="1" si="2"/>
        <v>#NAME?</v>
      </c>
    </row>
    <row r="29" spans="1:7">
      <c r="A29" s="21" t="s">
        <v>124</v>
      </c>
      <c r="B29" s="21" t="s">
        <v>163</v>
      </c>
      <c r="C29" s="21" t="s">
        <v>164</v>
      </c>
      <c r="D29" s="21" t="e">
        <f ca="1">_xll.BDP(B29&amp;" CUSIP", "CDS_FLAT_SPREAD")</f>
        <v>#NAME?</v>
      </c>
      <c r="E29" s="21">
        <v>0.4</v>
      </c>
      <c r="F29" s="20" t="e">
        <f t="shared" ca="1" si="2"/>
        <v>#NAME?</v>
      </c>
    </row>
    <row r="31" spans="1:7">
      <c r="A31" s="22" t="s">
        <v>97</v>
      </c>
      <c r="B31" s="22" t="s">
        <v>165</v>
      </c>
      <c r="C31" s="22" t="s">
        <v>166</v>
      </c>
      <c r="D31" s="22" t="s">
        <v>167</v>
      </c>
      <c r="E31" s="22" t="s">
        <v>101</v>
      </c>
      <c r="F31" s="22" t="s">
        <v>102</v>
      </c>
      <c r="G31" s="20" t="e">
        <f ca="1">+CONCATENATE("[",0," ",F32," ",F33," ",F34," ",F35," ",F36," ",F37," ",F38," ",F39,"]")</f>
        <v>#NAME?</v>
      </c>
    </row>
    <row r="32" spans="1:7">
      <c r="A32" s="21" t="s">
        <v>103</v>
      </c>
      <c r="B32" s="21" t="s">
        <v>168</v>
      </c>
      <c r="C32" s="21" t="s">
        <v>169</v>
      </c>
      <c r="D32" s="21" t="e">
        <f ca="1">_xll.BDP(B32&amp;" CUSIP", "CDS_FLAT_SPREAD")</f>
        <v>#NAME?</v>
      </c>
      <c r="E32" s="21">
        <v>0.4</v>
      </c>
      <c r="F32" s="20" t="e">
        <f t="shared" ref="F32:F39" ca="1" si="3">+D32/E32/100</f>
        <v>#NAME?</v>
      </c>
    </row>
    <row r="33" spans="1:7">
      <c r="A33" s="21" t="s">
        <v>106</v>
      </c>
      <c r="B33" s="21" t="s">
        <v>170</v>
      </c>
      <c r="C33" s="21" t="s">
        <v>171</v>
      </c>
      <c r="D33" s="21" t="e">
        <f ca="1">_xll.BDP(B33&amp;" CUSIP", "CDS_FLAT_SPREAD")</f>
        <v>#NAME?</v>
      </c>
      <c r="E33" s="21">
        <v>0.4</v>
      </c>
      <c r="F33" s="20" t="e">
        <f t="shared" ca="1" si="3"/>
        <v>#NAME?</v>
      </c>
    </row>
    <row r="34" spans="1:7">
      <c r="A34" s="21" t="s">
        <v>109</v>
      </c>
      <c r="B34" s="21" t="s">
        <v>172</v>
      </c>
      <c r="C34" s="21" t="s">
        <v>173</v>
      </c>
      <c r="D34" s="21" t="e">
        <f ca="1">_xll.BDP(B34&amp;" CUSIP", "CDS_FLAT_SPREAD")</f>
        <v>#NAME?</v>
      </c>
      <c r="E34" s="21">
        <v>0.4</v>
      </c>
      <c r="F34" s="20" t="e">
        <f t="shared" ca="1" si="3"/>
        <v>#NAME?</v>
      </c>
    </row>
    <row r="35" spans="1:7">
      <c r="A35" s="21" t="s">
        <v>112</v>
      </c>
      <c r="B35" s="21" t="s">
        <v>174</v>
      </c>
      <c r="C35" s="21" t="s">
        <v>175</v>
      </c>
      <c r="D35" s="21" t="e">
        <f ca="1">_xll.BDP(B35&amp;" CUSIP", "CDS_FLAT_SPREAD")</f>
        <v>#NAME?</v>
      </c>
      <c r="E35" s="21">
        <v>0.4</v>
      </c>
      <c r="F35" s="20" t="e">
        <f t="shared" ca="1" si="3"/>
        <v>#NAME?</v>
      </c>
    </row>
    <row r="36" spans="1:7">
      <c r="A36" s="21" t="s">
        <v>115</v>
      </c>
      <c r="B36" s="21" t="s">
        <v>176</v>
      </c>
      <c r="C36" s="21" t="s">
        <v>177</v>
      </c>
      <c r="D36" s="21" t="e">
        <f ca="1">_xll.BDP(B36&amp;" CUSIP", "CDS_FLAT_SPREAD")</f>
        <v>#NAME?</v>
      </c>
      <c r="E36" s="21">
        <v>0.4</v>
      </c>
      <c r="F36" s="20" t="e">
        <f t="shared" ca="1" si="3"/>
        <v>#NAME?</v>
      </c>
    </row>
    <row r="37" spans="1:7">
      <c r="A37" s="21" t="s">
        <v>118</v>
      </c>
      <c r="B37" s="21" t="s">
        <v>178</v>
      </c>
      <c r="C37" s="21" t="s">
        <v>179</v>
      </c>
      <c r="D37" s="21" t="e">
        <f ca="1">_xll.BDP(B37&amp;" CUSIP", "CDS_FLAT_SPREAD")</f>
        <v>#NAME?</v>
      </c>
      <c r="E37" s="21">
        <v>0.4</v>
      </c>
      <c r="F37" s="20" t="e">
        <f t="shared" ca="1" si="3"/>
        <v>#NAME?</v>
      </c>
    </row>
    <row r="38" spans="1:7">
      <c r="A38" s="21" t="s">
        <v>121</v>
      </c>
      <c r="B38" s="21" t="s">
        <v>180</v>
      </c>
      <c r="C38" s="21" t="s">
        <v>181</v>
      </c>
      <c r="D38" s="21" t="e">
        <f ca="1">_xll.BDP(B38&amp;" CUSIP", "CDS_FLAT_SPREAD")</f>
        <v>#NAME?</v>
      </c>
      <c r="E38" s="21">
        <v>0.4</v>
      </c>
      <c r="F38" s="20" t="e">
        <f t="shared" ca="1" si="3"/>
        <v>#NAME?</v>
      </c>
    </row>
    <row r="39" spans="1:7">
      <c r="A39" s="21" t="s">
        <v>124</v>
      </c>
      <c r="B39" s="21" t="s">
        <v>182</v>
      </c>
      <c r="C39" s="21" t="s">
        <v>183</v>
      </c>
      <c r="D39" s="21" t="e">
        <f ca="1">_xll.BDP(B39&amp;" CUSIP", "CDS_FLAT_SPREAD")</f>
        <v>#NAME?</v>
      </c>
      <c r="E39" s="21">
        <v>0.4</v>
      </c>
      <c r="F39" s="20" t="e">
        <f t="shared" ca="1" si="3"/>
        <v>#NAME?</v>
      </c>
    </row>
    <row r="41" spans="1:7">
      <c r="A41" s="22" t="s">
        <v>97</v>
      </c>
      <c r="B41" s="22" t="s">
        <v>184</v>
      </c>
      <c r="C41" s="22" t="s">
        <v>185</v>
      </c>
      <c r="D41" s="22" t="s">
        <v>186</v>
      </c>
      <c r="E41" s="22" t="s">
        <v>101</v>
      </c>
      <c r="F41" s="22" t="s">
        <v>102</v>
      </c>
      <c r="G41" s="20" t="e">
        <f ca="1">+CONCATENATE("[",0," ",F42," ",F43," ",F44," ",F45," ",F46," ",F47," ",F48," ",F49,"]")</f>
        <v>#NAME?</v>
      </c>
    </row>
    <row r="42" spans="1:7">
      <c r="A42" s="21" t="s">
        <v>103</v>
      </c>
      <c r="B42" s="21" t="s">
        <v>187</v>
      </c>
      <c r="C42" s="21" t="s">
        <v>188</v>
      </c>
      <c r="D42" s="21" t="e">
        <f ca="1">_xll.BDP(B42&amp;" CUSIP", "CDS_FLAT_SPREAD")</f>
        <v>#NAME?</v>
      </c>
      <c r="E42" s="21">
        <v>0.4</v>
      </c>
      <c r="F42" s="20" t="e">
        <f t="shared" ref="F42:F49" ca="1" si="4">+D42/E42/100</f>
        <v>#NAME?</v>
      </c>
    </row>
    <row r="43" spans="1:7">
      <c r="A43" s="21" t="s">
        <v>106</v>
      </c>
      <c r="B43" s="21" t="s">
        <v>189</v>
      </c>
      <c r="C43" s="21" t="s">
        <v>190</v>
      </c>
      <c r="D43" s="21" t="e">
        <f ca="1">_xll.BDP(B43&amp;" CUSIP", "CDS_FLAT_SPREAD")</f>
        <v>#NAME?</v>
      </c>
      <c r="E43" s="21">
        <v>0.4</v>
      </c>
      <c r="F43" s="20" t="e">
        <f t="shared" ca="1" si="4"/>
        <v>#NAME?</v>
      </c>
    </row>
    <row r="44" spans="1:7">
      <c r="A44" s="21" t="s">
        <v>109</v>
      </c>
      <c r="B44" s="21" t="s">
        <v>191</v>
      </c>
      <c r="C44" s="21" t="s">
        <v>192</v>
      </c>
      <c r="D44" s="21" t="e">
        <f ca="1">_xll.BDP(B44&amp;" CUSIP", "CDS_FLAT_SPREAD")</f>
        <v>#NAME?</v>
      </c>
      <c r="E44" s="21">
        <v>0.4</v>
      </c>
      <c r="F44" s="20" t="e">
        <f t="shared" ca="1" si="4"/>
        <v>#NAME?</v>
      </c>
    </row>
    <row r="45" spans="1:7">
      <c r="A45" s="21" t="s">
        <v>112</v>
      </c>
      <c r="B45" s="21" t="s">
        <v>193</v>
      </c>
      <c r="C45" s="21" t="s">
        <v>194</v>
      </c>
      <c r="D45" s="21" t="e">
        <f ca="1">_xll.BDP(B45&amp;" CUSIP", "CDS_FLAT_SPREAD")</f>
        <v>#NAME?</v>
      </c>
      <c r="E45" s="21">
        <v>0.4</v>
      </c>
      <c r="F45" s="20" t="e">
        <f t="shared" ca="1" si="4"/>
        <v>#NAME?</v>
      </c>
    </row>
    <row r="46" spans="1:7">
      <c r="A46" s="21" t="s">
        <v>115</v>
      </c>
      <c r="B46" s="21" t="s">
        <v>195</v>
      </c>
      <c r="C46" s="21" t="s">
        <v>196</v>
      </c>
      <c r="D46" s="21" t="e">
        <f ca="1">_xll.BDP(B46&amp;" CUSIP", "CDS_FLAT_SPREAD")</f>
        <v>#NAME?</v>
      </c>
      <c r="E46" s="21">
        <v>0.4</v>
      </c>
      <c r="F46" s="20" t="e">
        <f t="shared" ca="1" si="4"/>
        <v>#NAME?</v>
      </c>
    </row>
    <row r="47" spans="1:7">
      <c r="A47" s="21" t="s">
        <v>118</v>
      </c>
      <c r="B47" s="21" t="s">
        <v>197</v>
      </c>
      <c r="C47" s="21" t="s">
        <v>198</v>
      </c>
      <c r="D47" s="21" t="e">
        <f ca="1">_xll.BDP(B47&amp;" CUSIP", "CDS_FLAT_SPREAD")</f>
        <v>#NAME?</v>
      </c>
      <c r="E47" s="21">
        <v>0.4</v>
      </c>
      <c r="F47" s="20" t="e">
        <f t="shared" ca="1" si="4"/>
        <v>#NAME?</v>
      </c>
    </row>
    <row r="48" spans="1:7">
      <c r="A48" s="21" t="s">
        <v>121</v>
      </c>
      <c r="B48" s="21" t="s">
        <v>199</v>
      </c>
      <c r="C48" s="21" t="s">
        <v>200</v>
      </c>
      <c r="D48" s="21" t="e">
        <f ca="1">_xll.BDP(B48&amp;" CUSIP", "CDS_FLAT_SPREAD")</f>
        <v>#NAME?</v>
      </c>
      <c r="E48" s="21">
        <v>0.4</v>
      </c>
      <c r="F48" s="20" t="e">
        <f t="shared" ca="1" si="4"/>
        <v>#NAME?</v>
      </c>
    </row>
    <row r="49" spans="1:7">
      <c r="A49" s="21" t="s">
        <v>124</v>
      </c>
      <c r="B49" s="21" t="s">
        <v>201</v>
      </c>
      <c r="C49" s="21" t="s">
        <v>202</v>
      </c>
      <c r="D49" s="21" t="e">
        <f ca="1">_xll.BDP(B49&amp;" CUSIP", "CDS_FLAT_SPREAD")</f>
        <v>#NAME?</v>
      </c>
      <c r="E49" s="21">
        <v>0.4</v>
      </c>
      <c r="F49" s="20" t="e">
        <f t="shared" ca="1" si="4"/>
        <v>#NAME?</v>
      </c>
    </row>
    <row r="51" spans="1:7">
      <c r="A51" s="22" t="s">
        <v>97</v>
      </c>
      <c r="B51" s="22" t="s">
        <v>203</v>
      </c>
      <c r="C51" s="22" t="s">
        <v>204</v>
      </c>
      <c r="D51" s="22" t="s">
        <v>205</v>
      </c>
      <c r="E51" s="22" t="s">
        <v>101</v>
      </c>
      <c r="F51" s="22" t="s">
        <v>102</v>
      </c>
      <c r="G51" s="20" t="e">
        <f ca="1">+CONCATENATE("[",0," ",F52," ",F53," ",F54," ",F55," ",F56," ",F57," ",F58," ",F59,"]")</f>
        <v>#NAME?</v>
      </c>
    </row>
    <row r="52" spans="1:7">
      <c r="A52" s="21" t="s">
        <v>103</v>
      </c>
      <c r="B52" s="21" t="s">
        <v>206</v>
      </c>
      <c r="C52" s="21" t="s">
        <v>207</v>
      </c>
      <c r="D52" s="21" t="e">
        <f ca="1">_xll.BDP(B52&amp;" CUSIP", "CDS_FLAT_SPREAD")</f>
        <v>#NAME?</v>
      </c>
      <c r="E52" s="21">
        <v>0.4</v>
      </c>
      <c r="F52" s="20" t="e">
        <f t="shared" ref="F52:F59" ca="1" si="5">+D52/E52/100</f>
        <v>#NAME?</v>
      </c>
    </row>
    <row r="53" spans="1:7">
      <c r="A53" s="21" t="s">
        <v>106</v>
      </c>
      <c r="B53" s="21" t="s">
        <v>208</v>
      </c>
      <c r="C53" s="21" t="s">
        <v>209</v>
      </c>
      <c r="D53" s="21" t="e">
        <f ca="1">_xll.BDP(B53&amp;" CUSIP", "CDS_FLAT_SPREAD")</f>
        <v>#NAME?</v>
      </c>
      <c r="E53" s="21">
        <v>0.4</v>
      </c>
      <c r="F53" s="20" t="e">
        <f t="shared" ca="1" si="5"/>
        <v>#NAME?</v>
      </c>
    </row>
    <row r="54" spans="1:7">
      <c r="A54" s="21" t="s">
        <v>109</v>
      </c>
      <c r="B54" s="21" t="s">
        <v>210</v>
      </c>
      <c r="C54" s="21" t="s">
        <v>211</v>
      </c>
      <c r="D54" s="21" t="e">
        <f ca="1">_xll.BDP(B54&amp;" CUSIP", "CDS_FLAT_SPREAD")</f>
        <v>#NAME?</v>
      </c>
      <c r="E54" s="21">
        <v>0.4</v>
      </c>
      <c r="F54" s="20" t="e">
        <f t="shared" ca="1" si="5"/>
        <v>#NAME?</v>
      </c>
    </row>
    <row r="55" spans="1:7">
      <c r="A55" s="21" t="s">
        <v>112</v>
      </c>
      <c r="B55" s="21" t="s">
        <v>212</v>
      </c>
      <c r="C55" s="21" t="s">
        <v>213</v>
      </c>
      <c r="D55" s="21" t="e">
        <f ca="1">_xll.BDP(B55&amp;" CUSIP", "CDS_FLAT_SPREAD")</f>
        <v>#NAME?</v>
      </c>
      <c r="E55" s="21">
        <v>0.4</v>
      </c>
      <c r="F55" s="20" t="e">
        <f t="shared" ca="1" si="5"/>
        <v>#NAME?</v>
      </c>
    </row>
    <row r="56" spans="1:7">
      <c r="A56" s="21" t="s">
        <v>115</v>
      </c>
      <c r="B56" s="21" t="s">
        <v>214</v>
      </c>
      <c r="C56" s="21" t="s">
        <v>215</v>
      </c>
      <c r="D56" s="21" t="e">
        <f ca="1">_xll.BDP(B56&amp;" CUSIP", "CDS_FLAT_SPREAD")</f>
        <v>#NAME?</v>
      </c>
      <c r="E56" s="21">
        <v>0.4</v>
      </c>
      <c r="F56" s="20" t="e">
        <f t="shared" ca="1" si="5"/>
        <v>#NAME?</v>
      </c>
    </row>
    <row r="57" spans="1:7">
      <c r="A57" s="21" t="s">
        <v>118</v>
      </c>
      <c r="B57" s="21" t="s">
        <v>216</v>
      </c>
      <c r="C57" s="21" t="s">
        <v>217</v>
      </c>
      <c r="D57" s="21" t="e">
        <f ca="1">_xll.BDP(B57&amp;" CUSIP", "CDS_FLAT_SPREAD")</f>
        <v>#NAME?</v>
      </c>
      <c r="E57" s="21">
        <v>0.4</v>
      </c>
      <c r="F57" s="20" t="e">
        <f t="shared" ca="1" si="5"/>
        <v>#NAME?</v>
      </c>
    </row>
    <row r="58" spans="1:7">
      <c r="A58" s="21" t="s">
        <v>121</v>
      </c>
      <c r="B58" s="21" t="s">
        <v>218</v>
      </c>
      <c r="C58" s="21" t="s">
        <v>219</v>
      </c>
      <c r="D58" s="21" t="e">
        <f ca="1">_xll.BDP(B58&amp;" CUSIP", "CDS_FLAT_SPREAD")</f>
        <v>#NAME?</v>
      </c>
      <c r="E58" s="21">
        <v>0.4</v>
      </c>
      <c r="F58" s="20" t="e">
        <f t="shared" ca="1" si="5"/>
        <v>#NAME?</v>
      </c>
    </row>
    <row r="59" spans="1:7">
      <c r="A59" s="21" t="s">
        <v>124</v>
      </c>
      <c r="B59" s="21" t="s">
        <v>220</v>
      </c>
      <c r="C59" s="21" t="s">
        <v>221</v>
      </c>
      <c r="D59" s="21" t="e">
        <f ca="1">_xll.BDP(B59&amp;" CUSIP", "CDS_FLAT_SPREAD")</f>
        <v>#NAME?</v>
      </c>
      <c r="E59" s="21">
        <v>0.4</v>
      </c>
      <c r="F59" s="20" t="e">
        <f t="shared" ca="1" si="5"/>
        <v>#NAME?</v>
      </c>
    </row>
    <row r="61" spans="1:7">
      <c r="A61" s="22" t="s">
        <v>97</v>
      </c>
      <c r="B61" s="22" t="s">
        <v>222</v>
      </c>
      <c r="C61" s="22" t="s">
        <v>223</v>
      </c>
      <c r="D61" s="22" t="s">
        <v>224</v>
      </c>
      <c r="E61" s="22" t="s">
        <v>101</v>
      </c>
      <c r="F61" s="22" t="s">
        <v>102</v>
      </c>
      <c r="G61" s="20" t="e">
        <f ca="1">+CONCATENATE("[",0," ",F62," ",F63," ",F64," ",F65," ",F66," ",F67," ",F68," ",F69,"]")</f>
        <v>#NAME?</v>
      </c>
    </row>
    <row r="62" spans="1:7">
      <c r="A62" s="21" t="s">
        <v>103</v>
      </c>
      <c r="B62" s="21" t="s">
        <v>225</v>
      </c>
      <c r="C62" s="21" t="s">
        <v>226</v>
      </c>
      <c r="D62" s="21" t="e">
        <f ca="1">_xll.BDP(B62&amp;" CUSIP", "CDS_FLAT_SPREAD")</f>
        <v>#NAME?</v>
      </c>
      <c r="E62" s="21">
        <v>0.4</v>
      </c>
      <c r="F62" s="20" t="e">
        <f t="shared" ref="F62:F69" ca="1" si="6">+D62/E62/100</f>
        <v>#NAME?</v>
      </c>
    </row>
    <row r="63" spans="1:7">
      <c r="A63" s="21" t="s">
        <v>106</v>
      </c>
      <c r="B63" s="21" t="s">
        <v>227</v>
      </c>
      <c r="C63" s="21" t="s">
        <v>228</v>
      </c>
      <c r="D63" s="21" t="e">
        <f ca="1">_xll.BDP(B63&amp;" CUSIP", "CDS_FLAT_SPREAD")</f>
        <v>#NAME?</v>
      </c>
      <c r="E63" s="21">
        <v>0.4</v>
      </c>
      <c r="F63" s="20" t="e">
        <f t="shared" ca="1" si="6"/>
        <v>#NAME?</v>
      </c>
    </row>
    <row r="64" spans="1:7">
      <c r="A64" s="21" t="s">
        <v>109</v>
      </c>
      <c r="B64" s="21" t="s">
        <v>229</v>
      </c>
      <c r="C64" s="21" t="s">
        <v>230</v>
      </c>
      <c r="D64" s="21" t="e">
        <f ca="1">_xll.BDP(B64&amp;" CUSIP", "CDS_FLAT_SPREAD")</f>
        <v>#NAME?</v>
      </c>
      <c r="E64" s="21">
        <v>0.4</v>
      </c>
      <c r="F64" s="20" t="e">
        <f t="shared" ca="1" si="6"/>
        <v>#NAME?</v>
      </c>
    </row>
    <row r="65" spans="1:7">
      <c r="A65" s="21" t="s">
        <v>112</v>
      </c>
      <c r="B65" s="21" t="s">
        <v>231</v>
      </c>
      <c r="C65" s="21" t="s">
        <v>232</v>
      </c>
      <c r="D65" s="21" t="e">
        <f ca="1">_xll.BDP(B65&amp;" CUSIP", "CDS_FLAT_SPREAD")</f>
        <v>#NAME?</v>
      </c>
      <c r="E65" s="21">
        <v>0.4</v>
      </c>
      <c r="F65" s="20" t="e">
        <f t="shared" ca="1" si="6"/>
        <v>#NAME?</v>
      </c>
    </row>
    <row r="66" spans="1:7">
      <c r="A66" s="21" t="s">
        <v>115</v>
      </c>
      <c r="B66" s="21" t="s">
        <v>233</v>
      </c>
      <c r="C66" s="21" t="s">
        <v>234</v>
      </c>
      <c r="D66" s="21" t="e">
        <f ca="1">_xll.BDP(B66&amp;" CUSIP", "CDS_FLAT_SPREAD")</f>
        <v>#NAME?</v>
      </c>
      <c r="E66" s="21">
        <v>0.4</v>
      </c>
      <c r="F66" s="20" t="e">
        <f t="shared" ca="1" si="6"/>
        <v>#NAME?</v>
      </c>
    </row>
    <row r="67" spans="1:7">
      <c r="A67" s="21" t="s">
        <v>118</v>
      </c>
      <c r="B67" s="21" t="s">
        <v>235</v>
      </c>
      <c r="C67" s="21" t="s">
        <v>236</v>
      </c>
      <c r="D67" s="21" t="e">
        <f ca="1">_xll.BDP(B67&amp;" CUSIP", "CDS_FLAT_SPREAD")</f>
        <v>#NAME?</v>
      </c>
      <c r="E67" s="21">
        <v>0.4</v>
      </c>
      <c r="F67" s="20" t="e">
        <f t="shared" ca="1" si="6"/>
        <v>#NAME?</v>
      </c>
    </row>
    <row r="68" spans="1:7">
      <c r="A68" s="21" t="s">
        <v>121</v>
      </c>
      <c r="B68" s="21" t="s">
        <v>237</v>
      </c>
      <c r="C68" s="21" t="s">
        <v>238</v>
      </c>
      <c r="D68" s="21" t="e">
        <f ca="1">_xll.BDP(B68&amp;" CUSIP", "CDS_FLAT_SPREAD")</f>
        <v>#NAME?</v>
      </c>
      <c r="E68" s="21">
        <v>0.4</v>
      </c>
      <c r="F68" s="20" t="e">
        <f t="shared" ca="1" si="6"/>
        <v>#NAME?</v>
      </c>
    </row>
    <row r="69" spans="1:7">
      <c r="A69" s="21" t="s">
        <v>124</v>
      </c>
      <c r="B69" s="21" t="s">
        <v>239</v>
      </c>
      <c r="C69" s="21" t="s">
        <v>240</v>
      </c>
      <c r="D69" s="21" t="e">
        <f ca="1">_xll.BDP(B69&amp;" CUSIP", "CDS_FLAT_SPREAD")</f>
        <v>#NAME?</v>
      </c>
      <c r="E69" s="21">
        <v>0.4</v>
      </c>
      <c r="F69" s="20" t="e">
        <f t="shared" ca="1" si="6"/>
        <v>#NAME?</v>
      </c>
    </row>
    <row r="71" spans="1:7">
      <c r="A71" s="22" t="s">
        <v>97</v>
      </c>
      <c r="B71" s="22" t="s">
        <v>2</v>
      </c>
      <c r="C71" s="22" t="s">
        <v>241</v>
      </c>
      <c r="D71" s="22" t="s">
        <v>242</v>
      </c>
      <c r="E71" s="22" t="s">
        <v>101</v>
      </c>
      <c r="F71" s="22" t="s">
        <v>102</v>
      </c>
      <c r="G71" s="20" t="e">
        <f ca="1">+CONCATENATE("[",0," ",F72," ",F73," ",F74," ",F75," ",F76," ",F77," ",F78," ",F79,"]")</f>
        <v>#NAME?</v>
      </c>
    </row>
    <row r="72" spans="1:7">
      <c r="A72" s="21" t="s">
        <v>103</v>
      </c>
      <c r="B72" s="21" t="s">
        <v>243</v>
      </c>
      <c r="C72" s="21" t="s">
        <v>244</v>
      </c>
      <c r="D72" s="21" t="e">
        <f ca="1">_xll.BDP(B72&amp;" CUSIP", "CDS_FLAT_SPREAD")</f>
        <v>#NAME?</v>
      </c>
      <c r="E72" s="21">
        <v>0.4</v>
      </c>
      <c r="F72" s="20" t="e">
        <f t="shared" ref="F72:F79" ca="1" si="7">+D72/E72/100</f>
        <v>#NAME?</v>
      </c>
    </row>
    <row r="73" spans="1:7">
      <c r="A73" s="21" t="s">
        <v>106</v>
      </c>
      <c r="B73" s="21" t="s">
        <v>245</v>
      </c>
      <c r="C73" s="21" t="s">
        <v>246</v>
      </c>
      <c r="D73" s="21" t="e">
        <f ca="1">_xll.BDP(B73&amp;" CUSIP", "CDS_FLAT_SPREAD")</f>
        <v>#NAME?</v>
      </c>
      <c r="E73" s="21">
        <v>0.4</v>
      </c>
      <c r="F73" s="20" t="e">
        <f t="shared" ca="1" si="7"/>
        <v>#NAME?</v>
      </c>
    </row>
    <row r="74" spans="1:7">
      <c r="A74" s="21" t="s">
        <v>109</v>
      </c>
      <c r="B74" s="21" t="s">
        <v>247</v>
      </c>
      <c r="C74" s="21" t="s">
        <v>248</v>
      </c>
      <c r="D74" s="21" t="e">
        <f ca="1">_xll.BDP(B74&amp;" CUSIP", "CDS_FLAT_SPREAD")</f>
        <v>#NAME?</v>
      </c>
      <c r="E74" s="21">
        <v>0.4</v>
      </c>
      <c r="F74" s="20" t="e">
        <f t="shared" ca="1" si="7"/>
        <v>#NAME?</v>
      </c>
    </row>
    <row r="75" spans="1:7">
      <c r="A75" s="21" t="s">
        <v>112</v>
      </c>
      <c r="B75" s="21" t="s">
        <v>249</v>
      </c>
      <c r="C75" s="21" t="s">
        <v>250</v>
      </c>
      <c r="D75" s="21" t="e">
        <f ca="1">_xll.BDP(B75&amp;" CUSIP", "CDS_FLAT_SPREAD")</f>
        <v>#NAME?</v>
      </c>
      <c r="E75" s="21">
        <v>0.4</v>
      </c>
      <c r="F75" s="20" t="e">
        <f t="shared" ca="1" si="7"/>
        <v>#NAME?</v>
      </c>
    </row>
    <row r="76" spans="1:7">
      <c r="A76" s="21" t="s">
        <v>115</v>
      </c>
      <c r="B76" s="21" t="s">
        <v>251</v>
      </c>
      <c r="C76" s="21" t="s">
        <v>252</v>
      </c>
      <c r="D76" s="21" t="e">
        <f ca="1">_xll.BDP(B76&amp;" CUSIP", "CDS_FLAT_SPREAD")</f>
        <v>#NAME?</v>
      </c>
      <c r="E76" s="21">
        <v>0.4</v>
      </c>
      <c r="F76" s="20" t="e">
        <f t="shared" ca="1" si="7"/>
        <v>#NAME?</v>
      </c>
    </row>
    <row r="77" spans="1:7">
      <c r="A77" s="21" t="s">
        <v>118</v>
      </c>
      <c r="B77" s="21" t="s">
        <v>253</v>
      </c>
      <c r="C77" s="21" t="s">
        <v>254</v>
      </c>
      <c r="D77" s="21" t="e">
        <f ca="1">_xll.BDP(B77&amp;" CUSIP", "CDS_FLAT_SPREAD")</f>
        <v>#NAME?</v>
      </c>
      <c r="E77" s="21">
        <v>0.4</v>
      </c>
      <c r="F77" s="20" t="e">
        <f t="shared" ca="1" si="7"/>
        <v>#NAME?</v>
      </c>
    </row>
    <row r="78" spans="1:7">
      <c r="A78" s="21" t="s">
        <v>121</v>
      </c>
      <c r="B78" s="21" t="s">
        <v>255</v>
      </c>
      <c r="C78" s="21" t="s">
        <v>256</v>
      </c>
      <c r="D78" s="21" t="e">
        <f ca="1">_xll.BDP(B78&amp;" CUSIP", "CDS_FLAT_SPREAD")</f>
        <v>#NAME?</v>
      </c>
      <c r="E78" s="21">
        <v>0.4</v>
      </c>
      <c r="F78" s="20" t="e">
        <f t="shared" ca="1" si="7"/>
        <v>#NAME?</v>
      </c>
    </row>
    <row r="79" spans="1:7">
      <c r="A79" s="21" t="s">
        <v>124</v>
      </c>
      <c r="B79" s="21" t="s">
        <v>257</v>
      </c>
      <c r="C79" s="21" t="s">
        <v>258</v>
      </c>
      <c r="D79" s="21" t="e">
        <f ca="1">_xll.BDP(B79&amp;" CUSIP", "CDS_FLAT_SPREAD")</f>
        <v>#NAME?</v>
      </c>
      <c r="E79" s="21">
        <v>0.4</v>
      </c>
      <c r="F79" s="20" t="e">
        <f t="shared" ca="1" si="7"/>
        <v>#NAME?</v>
      </c>
    </row>
    <row r="81" spans="1:7">
      <c r="A81" s="22" t="s">
        <v>97</v>
      </c>
      <c r="B81" s="22" t="s">
        <v>2</v>
      </c>
      <c r="C81" s="22" t="s">
        <v>241</v>
      </c>
      <c r="D81" s="22" t="s">
        <v>242</v>
      </c>
      <c r="E81" s="22" t="s">
        <v>101</v>
      </c>
      <c r="F81" s="22" t="s">
        <v>102</v>
      </c>
      <c r="G81" s="20" t="e">
        <f ca="1">+CONCATENATE("[",0," ",F82," ",F83," ",F84," ",F85," ",F86," ",F87," ",F88," ",F89,"]")</f>
        <v>#NAME?</v>
      </c>
    </row>
    <row r="82" spans="1:7">
      <c r="A82" s="21" t="s">
        <v>103</v>
      </c>
      <c r="B82" s="21" t="s">
        <v>259</v>
      </c>
      <c r="C82" s="21" t="s">
        <v>260</v>
      </c>
      <c r="D82" s="21" t="e">
        <f ca="1">_xll.BDP(B82&amp;" CUSIP", "CDS_FLAT_SPREAD")</f>
        <v>#NAME?</v>
      </c>
      <c r="E82" s="21">
        <v>0.4</v>
      </c>
      <c r="F82" s="20" t="e">
        <f t="shared" ref="F82:F89" ca="1" si="8">+D82/E82/100</f>
        <v>#NAME?</v>
      </c>
    </row>
    <row r="83" spans="1:7">
      <c r="A83" s="21" t="s">
        <v>106</v>
      </c>
      <c r="B83" s="21" t="s">
        <v>261</v>
      </c>
      <c r="C83" s="21" t="s">
        <v>262</v>
      </c>
      <c r="D83" s="21" t="e">
        <f ca="1">_xll.BDP(B83&amp;" CUSIP", "CDS_FLAT_SPREAD")</f>
        <v>#NAME?</v>
      </c>
      <c r="E83" s="21">
        <v>0.4</v>
      </c>
      <c r="F83" s="20" t="e">
        <f t="shared" ca="1" si="8"/>
        <v>#NAME?</v>
      </c>
    </row>
    <row r="84" spans="1:7">
      <c r="A84" s="21" t="s">
        <v>109</v>
      </c>
      <c r="B84" s="21" t="s">
        <v>263</v>
      </c>
      <c r="C84" s="21" t="s">
        <v>264</v>
      </c>
      <c r="D84" s="21" t="e">
        <f ca="1">_xll.BDP(B84&amp;" CUSIP", "CDS_FLAT_SPREAD")</f>
        <v>#NAME?</v>
      </c>
      <c r="E84" s="21">
        <v>0.4</v>
      </c>
      <c r="F84" s="20" t="e">
        <f t="shared" ca="1" si="8"/>
        <v>#NAME?</v>
      </c>
    </row>
    <row r="85" spans="1:7">
      <c r="A85" s="21" t="s">
        <v>112</v>
      </c>
      <c r="B85" s="21" t="s">
        <v>265</v>
      </c>
      <c r="C85" s="21" t="s">
        <v>266</v>
      </c>
      <c r="D85" s="21" t="e">
        <f ca="1">_xll.BDP(B85&amp;" CUSIP", "CDS_FLAT_SPREAD")</f>
        <v>#NAME?</v>
      </c>
      <c r="E85" s="21">
        <v>0.4</v>
      </c>
      <c r="F85" s="20" t="e">
        <f t="shared" ca="1" si="8"/>
        <v>#NAME?</v>
      </c>
    </row>
    <row r="86" spans="1:7">
      <c r="A86" s="21" t="s">
        <v>115</v>
      </c>
      <c r="B86" s="21" t="s">
        <v>267</v>
      </c>
      <c r="C86" s="21" t="s">
        <v>268</v>
      </c>
      <c r="D86" s="21" t="e">
        <f ca="1">_xll.BDP(B86&amp;" CUSIP", "CDS_FLAT_SPREAD")</f>
        <v>#NAME?</v>
      </c>
      <c r="E86" s="21">
        <v>0.4</v>
      </c>
      <c r="F86" s="20" t="e">
        <f t="shared" ca="1" si="8"/>
        <v>#NAME?</v>
      </c>
    </row>
    <row r="87" spans="1:7">
      <c r="A87" s="21" t="s">
        <v>118</v>
      </c>
      <c r="B87" s="21" t="s">
        <v>269</v>
      </c>
      <c r="C87" s="21" t="s">
        <v>270</v>
      </c>
      <c r="D87" s="21" t="e">
        <f ca="1">_xll.BDP(B87&amp;" CUSIP", "CDS_FLAT_SPREAD")</f>
        <v>#NAME?</v>
      </c>
      <c r="E87" s="21">
        <v>0.4</v>
      </c>
      <c r="F87" s="20" t="e">
        <f t="shared" ca="1" si="8"/>
        <v>#NAME?</v>
      </c>
    </row>
    <row r="88" spans="1:7">
      <c r="A88" s="21" t="s">
        <v>121</v>
      </c>
      <c r="B88" s="21" t="s">
        <v>271</v>
      </c>
      <c r="C88" s="21" t="s">
        <v>272</v>
      </c>
      <c r="D88" s="21" t="e">
        <f ca="1">_xll.BDP(B88&amp;" CUSIP", "CDS_FLAT_SPREAD")</f>
        <v>#NAME?</v>
      </c>
      <c r="E88" s="21">
        <v>0.4</v>
      </c>
      <c r="F88" s="20" t="e">
        <f t="shared" ca="1" si="8"/>
        <v>#NAME?</v>
      </c>
    </row>
    <row r="89" spans="1:7">
      <c r="A89" s="21" t="s">
        <v>124</v>
      </c>
      <c r="B89" s="21" t="s">
        <v>273</v>
      </c>
      <c r="C89" s="21" t="s">
        <v>274</v>
      </c>
      <c r="D89" s="21" t="e">
        <f ca="1">_xll.BDP(B89&amp;" CUSIP", "CDS_FLAT_SPREAD")</f>
        <v>#NAME?</v>
      </c>
      <c r="E89" s="21">
        <v>0.4</v>
      </c>
      <c r="F89" s="20" t="e">
        <f t="shared" ca="1" si="8"/>
        <v>#NAME?</v>
      </c>
    </row>
    <row r="91" spans="1:7">
      <c r="A91" s="22" t="s">
        <v>97</v>
      </c>
      <c r="B91" s="22" t="s">
        <v>2</v>
      </c>
      <c r="C91" s="22" t="s">
        <v>241</v>
      </c>
      <c r="D91" s="22" t="s">
        <v>242</v>
      </c>
      <c r="E91" s="22" t="s">
        <v>101</v>
      </c>
      <c r="F91" s="22" t="s">
        <v>102</v>
      </c>
      <c r="G91" s="20" t="e">
        <f ca="1">+CONCATENATE("[",0," ",F92," ",F93," ",F94," ",F95," ",F96," ",F97," ",F98," ",F99,"]")</f>
        <v>#NAME?</v>
      </c>
    </row>
    <row r="92" spans="1:7">
      <c r="A92" s="21" t="s">
        <v>103</v>
      </c>
      <c r="B92" s="21" t="s">
        <v>275</v>
      </c>
      <c r="C92" s="21" t="s">
        <v>276</v>
      </c>
      <c r="D92" s="21" t="e">
        <f ca="1">_xll.BDP(B92&amp;" CUSIP", "CDS_FLAT_SPREAD")</f>
        <v>#NAME?</v>
      </c>
      <c r="E92" s="21">
        <v>0.4</v>
      </c>
      <c r="F92" s="20" t="e">
        <f t="shared" ref="F92:F99" ca="1" si="9">+D92/E92/100</f>
        <v>#NAME?</v>
      </c>
    </row>
    <row r="93" spans="1:7">
      <c r="A93" s="21" t="s">
        <v>106</v>
      </c>
      <c r="B93" s="21" t="s">
        <v>277</v>
      </c>
      <c r="C93" s="21" t="s">
        <v>278</v>
      </c>
      <c r="D93" s="21" t="e">
        <f ca="1">_xll.BDP(B93&amp;" CUSIP", "CDS_FLAT_SPREAD")</f>
        <v>#NAME?</v>
      </c>
      <c r="E93" s="21">
        <v>0.4</v>
      </c>
      <c r="F93" s="20" t="e">
        <f t="shared" ca="1" si="9"/>
        <v>#NAME?</v>
      </c>
    </row>
    <row r="94" spans="1:7">
      <c r="A94" s="21" t="s">
        <v>109</v>
      </c>
      <c r="B94" s="21" t="s">
        <v>279</v>
      </c>
      <c r="C94" s="21" t="s">
        <v>280</v>
      </c>
      <c r="D94" s="21" t="e">
        <f ca="1">_xll.BDP(B94&amp;" CUSIP", "CDS_FLAT_SPREAD")</f>
        <v>#NAME?</v>
      </c>
      <c r="E94" s="21">
        <v>0.4</v>
      </c>
      <c r="F94" s="20" t="e">
        <f t="shared" ca="1" si="9"/>
        <v>#NAME?</v>
      </c>
    </row>
    <row r="95" spans="1:7">
      <c r="A95" s="21" t="s">
        <v>112</v>
      </c>
      <c r="B95" s="21" t="s">
        <v>281</v>
      </c>
      <c r="C95" s="21" t="s">
        <v>282</v>
      </c>
      <c r="D95" s="21" t="e">
        <f ca="1">_xll.BDP(B95&amp;" CUSIP", "CDS_FLAT_SPREAD")</f>
        <v>#NAME?</v>
      </c>
      <c r="E95" s="21">
        <v>0.4</v>
      </c>
      <c r="F95" s="20" t="e">
        <f t="shared" ca="1" si="9"/>
        <v>#NAME?</v>
      </c>
    </row>
    <row r="96" spans="1:7">
      <c r="A96" s="21" t="s">
        <v>115</v>
      </c>
      <c r="B96" s="21" t="s">
        <v>283</v>
      </c>
      <c r="C96" s="21" t="s">
        <v>284</v>
      </c>
      <c r="D96" s="21" t="e">
        <f ca="1">_xll.BDP(B96&amp;" CUSIP", "CDS_FLAT_SPREAD")</f>
        <v>#NAME?</v>
      </c>
      <c r="E96" s="21">
        <v>0.4</v>
      </c>
      <c r="F96" s="20" t="e">
        <f t="shared" ca="1" si="9"/>
        <v>#NAME?</v>
      </c>
    </row>
    <row r="97" spans="1:6">
      <c r="A97" s="21" t="s">
        <v>118</v>
      </c>
      <c r="B97" s="21" t="s">
        <v>285</v>
      </c>
      <c r="C97" s="21" t="s">
        <v>286</v>
      </c>
      <c r="D97" s="21" t="e">
        <f ca="1">_xll.BDP(B97&amp;" CUSIP", "CDS_FLAT_SPREAD")</f>
        <v>#NAME?</v>
      </c>
      <c r="E97" s="21">
        <v>0.4</v>
      </c>
      <c r="F97" s="20" t="e">
        <f t="shared" ca="1" si="9"/>
        <v>#NAME?</v>
      </c>
    </row>
    <row r="98" spans="1:6">
      <c r="A98" s="21" t="s">
        <v>121</v>
      </c>
      <c r="B98" s="21" t="s">
        <v>287</v>
      </c>
      <c r="C98" s="21" t="s">
        <v>288</v>
      </c>
      <c r="D98" s="21" t="e">
        <f ca="1">_xll.BDP(B98&amp;" CUSIP", "CDS_FLAT_SPREAD")</f>
        <v>#NAME?</v>
      </c>
      <c r="E98" s="21">
        <v>0.4</v>
      </c>
      <c r="F98" s="20" t="e">
        <f t="shared" ca="1" si="9"/>
        <v>#NAME?</v>
      </c>
    </row>
    <row r="99" spans="1:6">
      <c r="A99" s="21" t="s">
        <v>124</v>
      </c>
      <c r="B99" s="21" t="s">
        <v>289</v>
      </c>
      <c r="C99" s="21" t="s">
        <v>290</v>
      </c>
      <c r="D99" s="21" t="e">
        <f ca="1">_xll.BDP(B99&amp;" CUSIP", "CDS_FLAT_SPREAD")</f>
        <v>#NAME?</v>
      </c>
      <c r="E99" s="21">
        <v>0.4</v>
      </c>
      <c r="F99" s="20" t="e">
        <f t="shared" ca="1" si="9"/>
        <v>#NAME?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sergio.ortizorendain</dc:creator>
  <cp:keywords/>
  <dc:description/>
  <cp:lastModifiedBy>258780981</cp:lastModifiedBy>
  <cp:revision/>
  <dcterms:created xsi:type="dcterms:W3CDTF">2016-06-22T21:01:39Z</dcterms:created>
  <dcterms:modified xsi:type="dcterms:W3CDTF">2016-06-23T21:39:55Z</dcterms:modified>
  <cp:category/>
  <cp:contentStatus/>
</cp:coreProperties>
</file>